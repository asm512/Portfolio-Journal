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workbookPr/>
  <mc:AlternateContent xmlns:mc="http://schemas.openxmlformats.org/markup-compatibility/2006">
    <mc:Choice Requires="x15">
      <x15ac:absPath xmlns:x15ac="http://schemas.microsoft.com/office/spreadsheetml/2010/11/ac" url="C:\Users\f6run\Documents\GitHub\Portfolio-Journal\"/>
    </mc:Choice>
  </mc:AlternateContent>
  <xr:revisionPtr revIDLastSave="0" documentId="13_ncr:1_{FC924D1C-368F-42C5-9A76-72132A9A0A3A}" xr6:coauthVersionLast="45" xr6:coauthVersionMax="45" xr10:uidLastSave="{00000000-0000-0000-0000-000000000000}"/>
  <bookViews>
    <workbookView xWindow="1290" yWindow="-120" windowWidth="27630" windowHeight="16440" activeTab="1" xr2:uid="{00000000-000D-0000-FFFF-FFFF00000000}"/>
  </bookViews>
  <sheets>
    <sheet name="Portfolio History" sheetId="1" r:id="rId1"/>
    <sheet name="Portfolio Visualisation"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9" i="1" l="1"/>
  <c r="AB7" i="1" l="1"/>
  <c r="AB8" i="1"/>
  <c r="AA25" i="1" l="1"/>
  <c r="R9" i="1"/>
  <c r="V10" i="1" l="1"/>
  <c r="V11" i="1"/>
  <c r="A5" i="2"/>
  <c r="U25" i="1"/>
  <c r="L26" i="1" s="1"/>
  <c r="H25" i="1"/>
  <c r="M19" i="1"/>
  <c r="M20" i="1"/>
  <c r="M21" i="1"/>
  <c r="M22" i="1"/>
  <c r="R22" i="1"/>
  <c r="N22" i="1"/>
  <c r="P22" i="1" s="1"/>
  <c r="R21" i="1"/>
  <c r="N21" i="1"/>
  <c r="P21" i="1" s="1"/>
  <c r="R20" i="1"/>
  <c r="N20" i="1"/>
  <c r="P20" i="1" s="1"/>
  <c r="R19" i="1"/>
  <c r="N19" i="1"/>
  <c r="P19" i="1" s="1"/>
  <c r="R18" i="1"/>
  <c r="N18" i="1"/>
  <c r="P18" i="1" s="1"/>
  <c r="M18" i="1"/>
  <c r="E22" i="1"/>
  <c r="E21" i="1"/>
  <c r="E20" i="1"/>
  <c r="E19" i="1"/>
  <c r="E18" i="1"/>
  <c r="N8" i="1"/>
  <c r="N10" i="1"/>
  <c r="N11" i="1"/>
  <c r="Z11" i="1" s="1"/>
  <c r="N7" i="1"/>
  <c r="M9" i="1"/>
  <c r="N9" i="1" s="1"/>
  <c r="Z9" i="1" s="1"/>
  <c r="AB9" i="1" s="1"/>
  <c r="AD7" i="1"/>
  <c r="AB11" i="1" l="1"/>
  <c r="O25" i="1"/>
  <c r="Q25" i="1"/>
  <c r="V7" i="1" l="1"/>
  <c r="AD8" i="1"/>
  <c r="AD9" i="1"/>
  <c r="AD11" i="1"/>
  <c r="V8" i="1"/>
  <c r="X8" i="1" s="1"/>
  <c r="X9" i="1"/>
  <c r="X10" i="1"/>
  <c r="X11" i="1"/>
  <c r="P8" i="1"/>
  <c r="P9" i="1"/>
  <c r="P10" i="1"/>
  <c r="P11" i="1"/>
  <c r="P7" i="1"/>
  <c r="E8" i="1"/>
  <c r="E9" i="1"/>
  <c r="E10" i="1"/>
  <c r="E11" i="1"/>
  <c r="E7" i="1"/>
  <c r="H14" i="1"/>
  <c r="C5" i="2" s="1"/>
  <c r="R8" i="1"/>
  <c r="Z8" i="1" s="1"/>
  <c r="R10" i="1"/>
  <c r="Z10" i="1" s="1"/>
  <c r="M8" i="1"/>
  <c r="M7" i="1"/>
  <c r="R7" i="1"/>
  <c r="Z7" i="1" s="1"/>
  <c r="AB10" i="1" l="1"/>
  <c r="C9" i="2"/>
  <c r="C16" i="2"/>
  <c r="A9" i="2"/>
  <c r="AD10" i="1"/>
  <c r="U14" i="1"/>
  <c r="AA14" i="1" s="1"/>
  <c r="A21" i="2" s="1"/>
  <c r="X7" i="1"/>
  <c r="A16" i="2" s="1"/>
  <c r="S16" i="1"/>
  <c r="Q14" i="1"/>
  <c r="O14" i="1"/>
  <c r="L15" i="1" l="1"/>
  <c r="A12" i="2" s="1"/>
  <c r="W14" i="1"/>
  <c r="S27" i="1"/>
  <c r="W2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weii</author>
  </authors>
  <commentList>
    <comment ref="K3" authorId="0" shapeId="0" xr:uid="{BE906BBC-4F11-4ED6-8667-EA95547EB70D}">
      <text>
        <r>
          <rPr>
            <b/>
            <sz val="9"/>
            <color indexed="81"/>
            <rFont val="Tahoma"/>
            <family val="2"/>
          </rPr>
          <t>weii:</t>
        </r>
        <r>
          <rPr>
            <sz val="9"/>
            <color indexed="81"/>
            <rFont val="Tahoma"/>
            <family val="2"/>
          </rPr>
          <t xml:space="preserve">
Determines how Max Potential Profit is calculated, false uses pip calculations using pip value, true uses risk and RR value</t>
        </r>
      </text>
    </comment>
  </commentList>
</comments>
</file>

<file path=xl/sharedStrings.xml><?xml version="1.0" encoding="utf-8"?>
<sst xmlns="http://schemas.openxmlformats.org/spreadsheetml/2006/main" count="87" uniqueCount="68">
  <si>
    <t>Date</t>
  </si>
  <si>
    <t>Asset</t>
  </si>
  <si>
    <t>Order Type</t>
  </si>
  <si>
    <t>Volume</t>
  </si>
  <si>
    <t>SL</t>
  </si>
  <si>
    <t>ENTRY</t>
  </si>
  <si>
    <t>TARGET</t>
  </si>
  <si>
    <t>SL (pips)</t>
  </si>
  <si>
    <t>Risk (GBP)</t>
  </si>
  <si>
    <t>Risk (%)</t>
  </si>
  <si>
    <t>RR</t>
  </si>
  <si>
    <t>Close Price</t>
  </si>
  <si>
    <t>Net P/L (GBP)</t>
  </si>
  <si>
    <t>Net P/L (%)</t>
  </si>
  <si>
    <t>R</t>
  </si>
  <si>
    <t>TradingView #1</t>
  </si>
  <si>
    <t>TradingView #2</t>
  </si>
  <si>
    <t>TradingView #3</t>
  </si>
  <si>
    <t>Timeframe</t>
  </si>
  <si>
    <t>Analysis</t>
  </si>
  <si>
    <t>SL2BE</t>
  </si>
  <si>
    <t>Notes</t>
  </si>
  <si>
    <t>Reflection</t>
  </si>
  <si>
    <t>Pip Value</t>
  </si>
  <si>
    <t>Commision/lot</t>
  </si>
  <si>
    <t>Server</t>
  </si>
  <si>
    <t>Login</t>
  </si>
  <si>
    <t>Password</t>
  </si>
  <si>
    <t>= input cells</t>
  </si>
  <si>
    <t>Pip Multiplier / 100</t>
  </si>
  <si>
    <t>Pip Multiplier</t>
  </si>
  <si>
    <t>Null</t>
  </si>
  <si>
    <t>placeholder</t>
  </si>
  <si>
    <t>End of Week Equity</t>
  </si>
  <si>
    <t>GBP</t>
  </si>
  <si>
    <t>%</t>
  </si>
  <si>
    <t>Weekly Volume</t>
  </si>
  <si>
    <t>Std Lots</t>
  </si>
  <si>
    <t>Max Portfolio Volatility</t>
  </si>
  <si>
    <t>Weekly P/L</t>
  </si>
  <si>
    <t>P/L as max volatility</t>
  </si>
  <si>
    <t>Portfolio Statistical Analysis</t>
  </si>
  <si>
    <t>Vol</t>
  </si>
  <si>
    <t>Avg Trade Vol</t>
  </si>
  <si>
    <t>Avg Weekly Vol</t>
  </si>
  <si>
    <t>Risk</t>
  </si>
  <si>
    <t>Avg risk (%)</t>
  </si>
  <si>
    <t>Avg RR</t>
  </si>
  <si>
    <t>Avg Returns expr as Max Portfolio Volatility</t>
  </si>
  <si>
    <t>Returns</t>
  </si>
  <si>
    <t>Avg P/L (%)</t>
  </si>
  <si>
    <t>Avg P/L (GBP)</t>
  </si>
  <si>
    <t>Avg Pos Ret</t>
  </si>
  <si>
    <t>Avg Neg Ret</t>
  </si>
  <si>
    <t>Max Potential Profit (GBP)</t>
  </si>
  <si>
    <t>Max Potential Profit (%)</t>
  </si>
  <si>
    <t>RR for MPP</t>
  </si>
  <si>
    <t>P/L as Max Potential Profit</t>
  </si>
  <si>
    <t>not working atm</t>
  </si>
  <si>
    <t>Expressed in terms of MPP</t>
  </si>
  <si>
    <t>Avg (P/L expressed in terms of MPP)</t>
  </si>
  <si>
    <t>Max Portfolio Volatility (%) measures, expressed as a fraction of your equity, your max loss, WoW, that could be incurred from trades. Relatively calculating it and expressing it in terms of equity means data across different equity sizes can be compared objectively.</t>
  </si>
  <si>
    <t>Equity WoW (Week on Week) simply tracks your equity at the end of every week.</t>
  </si>
  <si>
    <t>Returns expressed in terms of Max Portfolio Volatility (%) measures, expressed as a fraction of your Max Portfolio Volatility, your returns against the risk taken. The higher the number the better. Trades frequently aiming for and closing above 1R profit results in a value of &gt;=100%.</t>
  </si>
  <si>
    <t>P/L Parallel to MPP (%) TbT shows simply realized profits vs MPP as determined by your initial take profit. Both values are taken relative to the difference they would've made on your equity. This value can, like the Avg (P/L expressed in terms of MPP) be skewed by trades indeed closed at MPP, that was not within a few pips of Take Profit, to fix this either replace the Take Profit value for said trade with the real MPP or introduce a new column displaying MPP.</t>
  </si>
  <si>
    <t>Avg (P/L expressed in terms of MPP) represents, as a fraction of MPP (Max Potential Profit) your returns against your initial target. Trades frequently closed around your initial Take Profit region will result in a value ~100%, trades frequently closing at breakeven or a loss will result in a value of &lt;0%. This value can be skewed by trades indeed closed at MPP, that was not within a few pips of Take Profit, to fix this either replace the Take Profit value for said trade with the real MPP or introduce a new column displaying MPP.</t>
  </si>
  <si>
    <t>Example</t>
  </si>
  <si>
    <t>Returns Parallel to Max Portfolio Volatility (%) WoW shows simply realized returns parallel to the maximum amount of portfolio volatility, expressed in terms of your equity, you took on that week. Expressing the data set in terms of equity allows data sets to be compared across data sets operating on a different equity size. The lower the volatility measurement and the higher the returns measurement, the better your system is performing on an absolute basis taking only into account returns against risk taken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</si>
</sst>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quot;£&quot;* #,##0.00_-;_-&quot;£&quot;* &quot;-&quot;??_-;_-@_-"/>
    <numFmt numFmtId="164" formatCode="dd\ mmm\ yy"/>
    <numFmt numFmtId="165" formatCode="0.0"/>
    <numFmt numFmtId="166" formatCode="0.00000"/>
    <numFmt numFmtId="167" formatCode="&quot;£&quot;#,##0.00"/>
  </numFmts>
  <fonts count="10"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sz val="9"/>
      <color indexed="81"/>
      <name val="Tahoma"/>
      <family val="2"/>
    </font>
    <font>
      <b/>
      <sz val="9"/>
      <color indexed="81"/>
      <name val="Tahoma"/>
      <family val="2"/>
    </font>
    <font>
      <sz val="10"/>
      <color theme="1"/>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rgb="FFAB81FF"/>
        <bgColor indexed="64"/>
      </patternFill>
    </fill>
    <fill>
      <patternFill patternType="solid">
        <fgColor rgb="FFFF8585"/>
        <bgColor indexed="64"/>
      </patternFill>
    </fill>
    <fill>
      <patternFill patternType="solid">
        <fgColor theme="9" tint="0.59999389629810485"/>
        <bgColor indexed="64"/>
      </patternFill>
    </fill>
    <fill>
      <patternFill patternType="solid">
        <fgColor theme="0" tint="-0.34998626667073579"/>
        <bgColor indexed="64"/>
      </patternFill>
    </fill>
  </fills>
  <borders count="11">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4" fontId="1" fillId="0" borderId="0" applyFont="0" applyFill="0" applyBorder="0" applyAlignment="0" applyProtection="0"/>
    <xf numFmtId="0" fontId="3" fillId="0" borderId="0" applyNumberFormat="0" applyFill="0" applyBorder="0" applyAlignment="0" applyProtection="0"/>
  </cellStyleXfs>
  <cellXfs count="147">
    <xf numFmtId="0" fontId="0" fillId="0" borderId="0" xfId="0"/>
    <xf numFmtId="165" fontId="0" fillId="0" borderId="0" xfId="0" applyNumberFormat="1" applyAlignment="1">
      <alignment horizontal="center"/>
    </xf>
    <xf numFmtId="0" fontId="0" fillId="0" borderId="0" xfId="0" applyAlignment="1">
      <alignment horizontal="center"/>
    </xf>
    <xf numFmtId="0" fontId="2" fillId="0" borderId="0" xfId="0" applyFont="1" applyAlignment="1"/>
    <xf numFmtId="0" fontId="2" fillId="0" borderId="0" xfId="0" applyFont="1" applyAlignment="1">
      <alignment horizontal="center"/>
    </xf>
    <xf numFmtId="0" fontId="0" fillId="0" borderId="0" xfId="0" applyBorder="1" applyAlignment="1">
      <alignment horizontal="center"/>
    </xf>
    <xf numFmtId="165" fontId="0" fillId="0" borderId="0" xfId="0" applyNumberFormat="1" applyBorder="1" applyAlignment="1">
      <alignment horizontal="center"/>
    </xf>
    <xf numFmtId="164" fontId="2" fillId="0" borderId="0" xfId="0" applyNumberFormat="1" applyFont="1" applyAlignment="1">
      <alignment horizontal="center"/>
    </xf>
    <xf numFmtId="2" fontId="2" fillId="0" borderId="0" xfId="0" applyNumberFormat="1" applyFont="1" applyAlignment="1">
      <alignment horizontal="center"/>
    </xf>
    <xf numFmtId="165" fontId="2" fillId="0" borderId="0" xfId="0" applyNumberFormat="1" applyFont="1" applyAlignment="1">
      <alignment horizontal="center"/>
    </xf>
    <xf numFmtId="10" fontId="2" fillId="0" borderId="0" xfId="0" applyNumberFormat="1" applyFont="1" applyAlignment="1">
      <alignment horizontal="center"/>
    </xf>
    <xf numFmtId="44" fontId="2" fillId="0" borderId="0" xfId="1" applyFont="1" applyAlignment="1">
      <alignment horizontal="center"/>
    </xf>
    <xf numFmtId="164" fontId="2" fillId="0" borderId="1" xfId="0" applyNumberFormat="1" applyFont="1" applyBorder="1" applyAlignment="1">
      <alignment horizontal="center"/>
    </xf>
    <xf numFmtId="2" fontId="0" fillId="0" borderId="0" xfId="0" applyNumberFormat="1" applyAlignment="1">
      <alignment horizontal="center"/>
    </xf>
    <xf numFmtId="0" fontId="2" fillId="0" borderId="1" xfId="0" applyFont="1" applyFill="1" applyBorder="1" applyAlignment="1">
      <alignment horizontal="center"/>
    </xf>
    <xf numFmtId="10" fontId="0" fillId="0" borderId="0" xfId="0" applyNumberFormat="1" applyAlignment="1">
      <alignment horizontal="center"/>
    </xf>
    <xf numFmtId="0" fontId="2" fillId="0" borderId="1" xfId="0" applyFont="1" applyBorder="1" applyAlignment="1">
      <alignment horizontal="center"/>
    </xf>
    <xf numFmtId="44" fontId="0" fillId="0" borderId="0" xfId="1" applyFont="1" applyAlignment="1">
      <alignment horizontal="center"/>
    </xf>
    <xf numFmtId="44" fontId="0" fillId="0" borderId="2" xfId="1" applyFont="1" applyBorder="1" applyAlignment="1">
      <alignment horizontal="center"/>
    </xf>
    <xf numFmtId="0" fontId="0" fillId="0" borderId="2" xfId="0" applyBorder="1" applyAlignment="1">
      <alignment horizontal="center"/>
    </xf>
    <xf numFmtId="164" fontId="0" fillId="0" borderId="0" xfId="0" applyNumberFormat="1" applyAlignment="1">
      <alignment horizontal="center"/>
    </xf>
    <xf numFmtId="44" fontId="2" fillId="3" borderId="0" xfId="1" applyFont="1" applyFill="1" applyAlignment="1">
      <alignment horizontal="center"/>
    </xf>
    <xf numFmtId="2" fontId="0" fillId="2" borderId="0" xfId="0" applyNumberFormat="1" applyFill="1" applyAlignment="1">
      <alignment horizontal="center"/>
    </xf>
    <xf numFmtId="44" fontId="0" fillId="0" borderId="0" xfId="0" applyNumberFormat="1" applyAlignment="1">
      <alignment horizontal="center"/>
    </xf>
    <xf numFmtId="164" fontId="0" fillId="0" borderId="0" xfId="0" applyNumberFormat="1" applyFont="1" applyAlignment="1">
      <alignment horizontal="center"/>
    </xf>
    <xf numFmtId="164" fontId="2" fillId="0" borderId="3" xfId="0" applyNumberFormat="1" applyFont="1" applyBorder="1" applyAlignment="1">
      <alignment horizontal="center"/>
    </xf>
    <xf numFmtId="0" fontId="0" fillId="0" borderId="4" xfId="0" applyBorder="1" applyAlignment="1">
      <alignment horizontal="center"/>
    </xf>
    <xf numFmtId="2" fontId="0" fillId="0" borderId="4" xfId="0" applyNumberFormat="1" applyBorder="1" applyAlignment="1">
      <alignment horizontal="center"/>
    </xf>
    <xf numFmtId="165" fontId="0" fillId="0" borderId="4" xfId="0" applyNumberFormat="1" applyBorder="1" applyAlignment="1">
      <alignment horizontal="center"/>
    </xf>
    <xf numFmtId="10" fontId="0" fillId="0" borderId="4" xfId="0" applyNumberFormat="1" applyBorder="1" applyAlignment="1">
      <alignment horizontal="center"/>
    </xf>
    <xf numFmtId="44" fontId="0" fillId="0" borderId="4" xfId="1" applyFont="1" applyBorder="1" applyAlignment="1">
      <alignment horizontal="center"/>
    </xf>
    <xf numFmtId="164" fontId="0" fillId="0" borderId="9" xfId="0" applyNumberFormat="1" applyBorder="1" applyAlignment="1">
      <alignment horizontal="center"/>
    </xf>
    <xf numFmtId="10" fontId="0" fillId="0" borderId="0" xfId="0" applyNumberFormat="1" applyBorder="1" applyAlignment="1">
      <alignment horizontal="center"/>
    </xf>
    <xf numFmtId="44" fontId="0" fillId="0" borderId="0" xfId="1" applyFont="1" applyBorder="1" applyAlignment="1">
      <alignment horizontal="center"/>
    </xf>
    <xf numFmtId="164" fontId="0" fillId="0" borderId="6" xfId="0" applyNumberFormat="1" applyBorder="1" applyAlignment="1">
      <alignment horizontal="center"/>
    </xf>
    <xf numFmtId="165" fontId="0" fillId="0" borderId="7" xfId="0" applyNumberFormat="1" applyBorder="1" applyAlignment="1">
      <alignment horizontal="center"/>
    </xf>
    <xf numFmtId="44" fontId="0" fillId="0" borderId="7" xfId="1" applyFont="1" applyBorder="1" applyAlignment="1">
      <alignment horizontal="center"/>
    </xf>
    <xf numFmtId="44" fontId="2" fillId="3" borderId="7" xfId="1" applyFont="1" applyFill="1" applyBorder="1" applyAlignment="1">
      <alignment horizontal="center"/>
    </xf>
    <xf numFmtId="44" fontId="0" fillId="4" borderId="0" xfId="0" applyNumberFormat="1" applyFill="1" applyBorder="1" applyAlignment="1">
      <alignment horizontal="center"/>
    </xf>
    <xf numFmtId="166" fontId="2" fillId="0" borderId="0" xfId="0" applyNumberFormat="1" applyFont="1" applyAlignment="1">
      <alignment horizontal="center"/>
    </xf>
    <xf numFmtId="166" fontId="2" fillId="0" borderId="0" xfId="0" applyNumberFormat="1" applyFont="1" applyBorder="1" applyAlignment="1">
      <alignment horizontal="center"/>
    </xf>
    <xf numFmtId="166" fontId="0" fillId="0" borderId="0" xfId="0" applyNumberFormat="1" applyBorder="1" applyAlignment="1">
      <alignment horizontal="center"/>
    </xf>
    <xf numFmtId="166" fontId="2" fillId="0" borderId="0" xfId="1" applyNumberFormat="1" applyFont="1" applyFill="1" applyAlignment="1">
      <alignment horizontal="center"/>
    </xf>
    <xf numFmtId="166" fontId="0" fillId="2" borderId="0" xfId="0" applyNumberFormat="1" applyFill="1" applyAlignment="1">
      <alignment horizontal="center"/>
    </xf>
    <xf numFmtId="166" fontId="0" fillId="0" borderId="4" xfId="0" applyNumberFormat="1" applyBorder="1" applyAlignment="1">
      <alignment horizontal="center"/>
    </xf>
    <xf numFmtId="166" fontId="2" fillId="0" borderId="7" xfId="1" applyNumberFormat="1" applyFont="1" applyFill="1" applyBorder="1" applyAlignment="1">
      <alignment horizontal="center"/>
    </xf>
    <xf numFmtId="166" fontId="0" fillId="0" borderId="0" xfId="0" applyNumberFormat="1" applyAlignment="1">
      <alignment horizontal="center"/>
    </xf>
    <xf numFmtId="166" fontId="0" fillId="0" borderId="7" xfId="0" applyNumberFormat="1" applyBorder="1" applyAlignment="1">
      <alignment horizontal="center"/>
    </xf>
    <xf numFmtId="166" fontId="2" fillId="0" borderId="0" xfId="0" applyNumberFormat="1" applyFont="1" applyFill="1" applyAlignment="1">
      <alignment horizontal="center"/>
    </xf>
    <xf numFmtId="166" fontId="2" fillId="0" borderId="0" xfId="0" applyNumberFormat="1" applyFont="1" applyFill="1" applyBorder="1" applyAlignment="1">
      <alignment horizontal="center"/>
    </xf>
    <xf numFmtId="166" fontId="0" fillId="0" borderId="0" xfId="0" applyNumberFormat="1" applyFill="1" applyBorder="1" applyAlignment="1">
      <alignment horizontal="center"/>
    </xf>
    <xf numFmtId="166" fontId="0" fillId="0" borderId="0" xfId="0" applyNumberFormat="1" applyFill="1" applyAlignment="1">
      <alignment horizontal="center"/>
    </xf>
    <xf numFmtId="166" fontId="2" fillId="0" borderId="4" xfId="0" applyNumberFormat="1" applyFont="1" applyFill="1" applyBorder="1" applyAlignment="1">
      <alignment horizontal="center"/>
    </xf>
    <xf numFmtId="44" fontId="0" fillId="0" borderId="0" xfId="1" applyFont="1" applyFill="1" applyAlignment="1">
      <alignment horizontal="center"/>
    </xf>
    <xf numFmtId="166" fontId="2" fillId="0" borderId="1" xfId="0" applyNumberFormat="1" applyFont="1" applyBorder="1" applyAlignment="1">
      <alignment horizontal="center"/>
    </xf>
    <xf numFmtId="1" fontId="0" fillId="0" borderId="2" xfId="0" applyNumberFormat="1" applyBorder="1" applyAlignment="1">
      <alignment horizontal="center"/>
    </xf>
    <xf numFmtId="10" fontId="2" fillId="0" borderId="0" xfId="0" applyNumberFormat="1" applyFont="1" applyBorder="1" applyAlignment="1">
      <alignment horizontal="center"/>
    </xf>
    <xf numFmtId="166" fontId="0" fillId="0" borderId="0" xfId="0" applyNumberFormat="1" applyBorder="1" applyAlignment="1">
      <alignment horizontal="left"/>
    </xf>
    <xf numFmtId="165" fontId="2" fillId="0" borderId="10" xfId="0" applyNumberFormat="1" applyFont="1" applyBorder="1" applyAlignment="1">
      <alignment horizontal="center"/>
    </xf>
    <xf numFmtId="165" fontId="0" fillId="0" borderId="10" xfId="0" applyNumberFormat="1" applyBorder="1" applyAlignment="1">
      <alignment horizontal="center"/>
    </xf>
    <xf numFmtId="165" fontId="0" fillId="0" borderId="5" xfId="0" applyNumberFormat="1" applyBorder="1" applyAlignment="1">
      <alignment horizontal="center"/>
    </xf>
    <xf numFmtId="165" fontId="0" fillId="0" borderId="8" xfId="0" applyNumberFormat="1" applyBorder="1" applyAlignment="1">
      <alignment horizontal="center"/>
    </xf>
    <xf numFmtId="0" fontId="2" fillId="2" borderId="4" xfId="0" applyFont="1" applyFill="1" applyBorder="1" applyAlignment="1">
      <alignment horizontal="center"/>
    </xf>
    <xf numFmtId="0" fontId="2" fillId="0" borderId="3" xfId="0" applyFont="1" applyFill="1" applyBorder="1" applyAlignment="1">
      <alignment horizontal="center"/>
    </xf>
    <xf numFmtId="0" fontId="2" fillId="0" borderId="4" xfId="0" applyFont="1" applyFill="1" applyBorder="1" applyAlignment="1">
      <alignment horizontal="center"/>
    </xf>
    <xf numFmtId="0" fontId="2" fillId="0" borderId="5" xfId="0" applyFont="1" applyFill="1" applyBorder="1" applyAlignment="1">
      <alignment horizontal="center"/>
    </xf>
    <xf numFmtId="0" fontId="0" fillId="0" borderId="5" xfId="0" quotePrefix="1" applyFill="1" applyBorder="1" applyAlignment="1">
      <alignment horizontal="left"/>
    </xf>
    <xf numFmtId="0" fontId="0" fillId="0" borderId="6" xfId="0" applyFill="1" applyBorder="1" applyAlignment="1">
      <alignment horizontal="center"/>
    </xf>
    <xf numFmtId="0" fontId="0" fillId="0" borderId="7" xfId="0" applyFill="1" applyBorder="1" applyAlignment="1">
      <alignment horizontal="center"/>
    </xf>
    <xf numFmtId="0" fontId="0" fillId="0" borderId="8" xfId="0" applyFill="1" applyBorder="1" applyAlignment="1">
      <alignment horizontal="center"/>
    </xf>
    <xf numFmtId="0" fontId="0" fillId="0" borderId="0" xfId="0" applyAlignment="1">
      <alignment horizontal="left"/>
    </xf>
    <xf numFmtId="0" fontId="0" fillId="0" borderId="0" xfId="0" applyAlignment="1"/>
    <xf numFmtId="0" fontId="0" fillId="0" borderId="10" xfId="0" applyBorder="1" applyAlignment="1">
      <alignment horizontal="center"/>
    </xf>
    <xf numFmtId="0" fontId="0" fillId="2" borderId="0" xfId="0" applyFill="1" applyAlignment="1">
      <alignment horizontal="center"/>
    </xf>
    <xf numFmtId="2" fontId="0" fillId="0" borderId="0" xfId="0" applyNumberFormat="1" applyBorder="1" applyAlignment="1">
      <alignment horizontal="right"/>
    </xf>
    <xf numFmtId="0" fontId="3" fillId="0" borderId="0" xfId="2" applyAlignment="1">
      <alignment horizontal="center"/>
    </xf>
    <xf numFmtId="0" fontId="3" fillId="0" borderId="0" xfId="2" applyAlignment="1">
      <alignment horizontal="left"/>
    </xf>
    <xf numFmtId="0" fontId="0" fillId="0" borderId="7" xfId="0" applyBorder="1" applyAlignment="1">
      <alignment horizontal="center"/>
    </xf>
    <xf numFmtId="2" fontId="0" fillId="0" borderId="7" xfId="0" applyNumberFormat="1" applyBorder="1" applyAlignment="1">
      <alignment horizontal="center"/>
    </xf>
    <xf numFmtId="0" fontId="2" fillId="0" borderId="10" xfId="0" applyFont="1" applyBorder="1" applyAlignment="1">
      <alignment horizontal="center"/>
    </xf>
    <xf numFmtId="10" fontId="0" fillId="0" borderId="7" xfId="0" applyNumberFormat="1" applyBorder="1" applyAlignment="1">
      <alignment horizontal="center"/>
    </xf>
    <xf numFmtId="10" fontId="0" fillId="0" borderId="0" xfId="0" applyNumberFormat="1" applyBorder="1" applyAlignment="1">
      <alignment horizontal="center"/>
    </xf>
    <xf numFmtId="2" fontId="0" fillId="0" borderId="0" xfId="0" applyNumberFormat="1" applyBorder="1" applyAlignment="1">
      <alignment horizontal="center"/>
    </xf>
    <xf numFmtId="44" fontId="0" fillId="5" borderId="0" xfId="1" applyFont="1" applyFill="1" applyBorder="1" applyAlignment="1">
      <alignment horizontal="center"/>
    </xf>
    <xf numFmtId="0" fontId="0" fillId="0" borderId="9" xfId="0" applyBorder="1"/>
    <xf numFmtId="0" fontId="0" fillId="0" borderId="0" xfId="0" applyBorder="1"/>
    <xf numFmtId="0" fontId="0" fillId="0" borderId="10" xfId="0" applyBorder="1"/>
    <xf numFmtId="0" fontId="2" fillId="0" borderId="9" xfId="0" applyFont="1" applyBorder="1" applyAlignment="1"/>
    <xf numFmtId="0" fontId="2" fillId="0" borderId="0" xfId="0" applyFont="1" applyBorder="1" applyAlignment="1"/>
    <xf numFmtId="0" fontId="2" fillId="0" borderId="10" xfId="0" applyFont="1" applyBorder="1" applyAlignment="1"/>
    <xf numFmtId="0" fontId="5" fillId="0" borderId="0" xfId="0" applyFont="1"/>
    <xf numFmtId="10" fontId="0" fillId="0" borderId="7" xfId="0" applyNumberFormat="1" applyBorder="1" applyAlignment="1">
      <alignment horizontal="center"/>
    </xf>
    <xf numFmtId="10" fontId="0" fillId="0" borderId="0" xfId="0" applyNumberFormat="1" applyBorder="1" applyAlignment="1">
      <alignment horizontal="center"/>
    </xf>
    <xf numFmtId="10" fontId="0" fillId="0" borderId="10" xfId="0" applyNumberForma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10" fontId="0" fillId="0" borderId="0" xfId="0" applyNumberFormat="1" applyFill="1" applyBorder="1" applyAlignment="1">
      <alignment horizontal="center"/>
    </xf>
    <xf numFmtId="166" fontId="0" fillId="0" borderId="2" xfId="0" applyNumberFormat="1" applyFont="1" applyBorder="1" applyAlignment="1">
      <alignment horizontal="center"/>
    </xf>
    <xf numFmtId="167" fontId="2" fillId="0" borderId="0" xfId="0" applyNumberFormat="1" applyFont="1" applyBorder="1" applyAlignment="1">
      <alignment horizontal="center"/>
    </xf>
    <xf numFmtId="167" fontId="0" fillId="0" borderId="0" xfId="0" applyNumberFormat="1" applyBorder="1" applyAlignment="1">
      <alignment horizontal="center"/>
    </xf>
    <xf numFmtId="167" fontId="0" fillId="0" borderId="7" xfId="0" applyNumberFormat="1" applyBorder="1" applyAlignment="1">
      <alignment horizontal="center"/>
    </xf>
    <xf numFmtId="10" fontId="2" fillId="0" borderId="0" xfId="0" applyNumberFormat="1" applyFont="1" applyBorder="1" applyAlignment="1">
      <alignment horizontal="right"/>
    </xf>
    <xf numFmtId="10" fontId="2" fillId="0" borderId="5" xfId="0" applyNumberFormat="1" applyFont="1" applyBorder="1" applyAlignment="1">
      <alignment horizontal="center"/>
    </xf>
    <xf numFmtId="10" fontId="0" fillId="5" borderId="10" xfId="0" applyNumberFormat="1" applyFill="1" applyBorder="1" applyAlignment="1">
      <alignment horizontal="center"/>
    </xf>
    <xf numFmtId="166" fontId="0" fillId="0" borderId="3" xfId="0" applyNumberFormat="1" applyFont="1" applyBorder="1" applyAlignment="1">
      <alignment horizontal="center"/>
    </xf>
    <xf numFmtId="166" fontId="2" fillId="0" borderId="9" xfId="0" applyNumberFormat="1" applyFont="1" applyBorder="1" applyAlignment="1">
      <alignment horizontal="center"/>
    </xf>
    <xf numFmtId="10" fontId="0" fillId="0" borderId="3" xfId="0" applyNumberFormat="1" applyBorder="1" applyAlignment="1">
      <alignment horizontal="center"/>
    </xf>
    <xf numFmtId="10" fontId="0" fillId="4" borderId="10" xfId="0" applyNumberFormat="1" applyFill="1" applyBorder="1" applyAlignment="1">
      <alignment horizontal="center"/>
    </xf>
    <xf numFmtId="0" fontId="2" fillId="6" borderId="1" xfId="0" applyFont="1" applyFill="1" applyBorder="1" applyAlignment="1">
      <alignment horizontal="center"/>
    </xf>
    <xf numFmtId="44" fontId="0" fillId="6" borderId="2" xfId="1" applyFont="1" applyFill="1" applyBorder="1" applyAlignment="1">
      <alignment horizontal="center"/>
    </xf>
    <xf numFmtId="0" fontId="0" fillId="0" borderId="0" xfId="0" applyFont="1" applyAlignment="1">
      <alignment horizontal="center"/>
    </xf>
    <xf numFmtId="10" fontId="2" fillId="0" borderId="9" xfId="0" applyNumberFormat="1" applyFont="1" applyBorder="1" applyAlignment="1">
      <alignment horizontal="right"/>
    </xf>
    <xf numFmtId="10" fontId="0" fillId="0" borderId="0" xfId="0" applyNumberFormat="1" applyFont="1" applyBorder="1" applyAlignment="1">
      <alignment horizontal="center"/>
    </xf>
    <xf numFmtId="0" fontId="2" fillId="0" borderId="0" xfId="0" applyFont="1" applyAlignment="1">
      <alignment horizontal="right"/>
    </xf>
    <xf numFmtId="2" fontId="2" fillId="0" borderId="0" xfId="0" applyNumberFormat="1" applyFont="1" applyBorder="1" applyAlignment="1">
      <alignment horizontal="center"/>
    </xf>
    <xf numFmtId="0" fontId="2" fillId="0" borderId="9" xfId="0" applyFont="1" applyBorder="1" applyAlignment="1">
      <alignment horizontal="center"/>
    </xf>
    <xf numFmtId="0" fontId="2" fillId="0" borderId="0" xfId="0" applyFont="1" applyBorder="1" applyAlignment="1">
      <alignment horizontal="center"/>
    </xf>
    <xf numFmtId="0" fontId="2" fillId="0" borderId="7" xfId="0" applyFont="1" applyBorder="1" applyAlignment="1">
      <alignment horizontal="right"/>
    </xf>
    <xf numFmtId="0" fontId="3" fillId="0" borderId="9" xfId="2" applyBorder="1" applyAlignment="1">
      <alignment horizontal="center"/>
    </xf>
    <xf numFmtId="0" fontId="3" fillId="0" borderId="0" xfId="2" applyAlignment="1">
      <alignment horizontal="center"/>
    </xf>
    <xf numFmtId="166" fontId="2" fillId="0" borderId="0" xfId="0" applyNumberFormat="1" applyFont="1" applyBorder="1" applyAlignment="1">
      <alignment horizontal="right"/>
    </xf>
    <xf numFmtId="10" fontId="2" fillId="0" borderId="0" xfId="0" applyNumberFormat="1" applyFont="1" applyBorder="1" applyAlignment="1">
      <alignment horizontal="right"/>
    </xf>
    <xf numFmtId="10" fontId="0" fillId="0" borderId="3" xfId="0" applyNumberFormat="1" applyBorder="1" applyAlignment="1">
      <alignment horizontal="center"/>
    </xf>
    <xf numFmtId="10" fontId="0" fillId="0" borderId="4" xfId="0" applyNumberFormat="1" applyBorder="1" applyAlignment="1">
      <alignment horizontal="center"/>
    </xf>
    <xf numFmtId="10" fontId="0" fillId="0" borderId="5" xfId="0" applyNumberFormat="1" applyBorder="1" applyAlignment="1">
      <alignment horizontal="center"/>
    </xf>
    <xf numFmtId="0" fontId="8" fillId="0" borderId="0" xfId="0" applyFont="1" applyAlignment="1">
      <alignment horizontal="center" vertical="center" wrapText="1"/>
    </xf>
    <xf numFmtId="0" fontId="4" fillId="0" borderId="0" xfId="0" applyFont="1" applyAlignment="1">
      <alignment horizontal="center"/>
    </xf>
    <xf numFmtId="0" fontId="2" fillId="0" borderId="10"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0" fontId="0" fillId="0" borderId="6" xfId="0" applyNumberFormat="1" applyBorder="1" applyAlignment="1">
      <alignment horizontal="center"/>
    </xf>
    <xf numFmtId="10" fontId="0" fillId="0" borderId="7" xfId="0" applyNumberFormat="1" applyBorder="1" applyAlignment="1">
      <alignment horizontal="center"/>
    </xf>
    <xf numFmtId="10" fontId="0" fillId="0" borderId="8" xfId="0" applyNumberFormat="1" applyBorder="1" applyAlignment="1">
      <alignment horizontal="center"/>
    </xf>
    <xf numFmtId="10" fontId="0" fillId="0" borderId="9" xfId="0" applyNumberFormat="1" applyBorder="1" applyAlignment="1">
      <alignment horizontal="center"/>
    </xf>
    <xf numFmtId="10" fontId="0" fillId="0" borderId="0"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10" fontId="0" fillId="0" borderId="10" xfId="0" applyNumberFormat="1" applyBorder="1" applyAlignment="1">
      <alignment horizontal="center"/>
    </xf>
    <xf numFmtId="0" fontId="9" fillId="2" borderId="0" xfId="0" applyFont="1" applyFill="1" applyAlignment="1">
      <alignment horizontal="center"/>
    </xf>
    <xf numFmtId="167" fontId="0" fillId="0" borderId="0" xfId="0" applyNumberFormat="1" applyBorder="1" applyAlignment="1">
      <alignment horizontal="center"/>
    </xf>
    <xf numFmtId="167" fontId="0" fillId="0" borderId="10" xfId="0" applyNumberFormat="1" applyBorder="1" applyAlignment="1">
      <alignment horizontal="center"/>
    </xf>
    <xf numFmtId="0" fontId="0" fillId="0" borderId="0" xfId="0" applyAlignment="1">
      <alignment horizontal="center" vertical="center" wrapText="1"/>
    </xf>
  </cellXfs>
  <cellStyles count="3">
    <cellStyle name="Currency" xfId="1" builtinId="4"/>
    <cellStyle name="Hyperlink" xfId="2" builtinId="8"/>
    <cellStyle name="Normal" xfId="0" builtinId="0"/>
  </cellStyles>
  <dxfs count="2">
    <dxf>
      <font>
        <color theme="9" tint="0.59996337778862885"/>
      </font>
    </dxf>
    <dxf>
      <font>
        <color rgb="FFFF8585"/>
      </font>
    </dxf>
  </dxfs>
  <tableStyles count="0" defaultTableStyle="TableStyleMedium2" defaultPivotStyle="PivotStyleLight16"/>
  <colors>
    <mruColors>
      <color rgb="FFFF85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v>Equity WoW</c:v>
          </c:tx>
          <c:spPr>
            <a:solidFill>
              <a:schemeClr val="accent3"/>
            </a:solidFill>
            <a:ln>
              <a:noFill/>
            </a:ln>
            <a:effectLst/>
          </c:spPr>
          <c:cat>
            <c:numRef>
              <c:f>('Portfolio History'!$A$7,'Portfolio History'!$A$13,'Portfolio History'!$A$24)</c:f>
              <c:numCache>
                <c:formatCode>dd\ mmm\ yy</c:formatCode>
                <c:ptCount val="3"/>
                <c:pt idx="0">
                  <c:v>43955</c:v>
                </c:pt>
                <c:pt idx="1">
                  <c:v>43961</c:v>
                </c:pt>
                <c:pt idx="2">
                  <c:v>43968</c:v>
                </c:pt>
              </c:numCache>
            </c:numRef>
          </c:cat>
          <c:val>
            <c:numRef>
              <c:f>('Portfolio History'!$S$6,'Portfolio History'!$S$16,'Portfolio History'!$S$27)</c:f>
              <c:numCache>
                <c:formatCode>_("£"* #,##0.00_);_("£"* \(#,##0.00\);_("£"* "-"??_);_(@_)</c:formatCode>
                <c:ptCount val="3"/>
                <c:pt idx="0">
                  <c:v>50000</c:v>
                </c:pt>
                <c:pt idx="1">
                  <c:v>51016.932799999238</c:v>
                </c:pt>
                <c:pt idx="2">
                  <c:v>51016.932799999238</c:v>
                </c:pt>
              </c:numCache>
            </c:numRef>
          </c:val>
          <c:extLst>
            <c:ext xmlns:c16="http://schemas.microsoft.com/office/drawing/2014/chart" uri="{C3380CC4-5D6E-409C-BE32-E72D297353CC}">
              <c16:uniqueId val="{00000000-6DFC-4E96-89D2-EDD412681A47}"/>
            </c:ext>
          </c:extLst>
        </c:ser>
        <c:dLbls>
          <c:showLegendKey val="0"/>
          <c:showVal val="0"/>
          <c:showCatName val="0"/>
          <c:showSerName val="0"/>
          <c:showPercent val="0"/>
          <c:showBubbleSize val="0"/>
        </c:dLbls>
        <c:axId val="1723395984"/>
        <c:axId val="1878623728"/>
      </c:areaChart>
      <c:dateAx>
        <c:axId val="1723395984"/>
        <c:scaling>
          <c:orientation val="minMax"/>
        </c:scaling>
        <c:delete val="0"/>
        <c:axPos val="b"/>
        <c:numFmt formatCode="dd\ mmm\ 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623728"/>
        <c:crosses val="autoZero"/>
        <c:auto val="1"/>
        <c:lblOffset val="100"/>
        <c:baseTimeUnit val="days"/>
      </c:dateAx>
      <c:valAx>
        <c:axId val="187862372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39598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20000"/>
              <a:lumOff val="8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Portfolio Volatility (%) WoW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v>Max Portfolio Volatility WoW</c:v>
          </c:tx>
          <c:spPr>
            <a:solidFill>
              <a:schemeClr val="accent3"/>
            </a:solidFill>
            <a:ln w="25400">
              <a:noFill/>
            </a:ln>
            <a:effectLst/>
          </c:spPr>
          <c:cat>
            <c:numRef>
              <c:f>('Portfolio History'!$A$13,'Portfolio History'!$A$24)</c:f>
              <c:numCache>
                <c:formatCode>dd\ mmm\ yy</c:formatCode>
                <c:ptCount val="2"/>
                <c:pt idx="0">
                  <c:v>43961</c:v>
                </c:pt>
                <c:pt idx="1">
                  <c:v>43968</c:v>
                </c:pt>
              </c:numCache>
            </c:numRef>
          </c:cat>
          <c:val>
            <c:numRef>
              <c:f>('Portfolio History'!$Q$14,'Portfolio History'!$Q$25)</c:f>
              <c:numCache>
                <c:formatCode>0.00%</c:formatCode>
                <c:ptCount val="2"/>
                <c:pt idx="0">
                  <c:v>-1.1758096000000027E-2</c:v>
                </c:pt>
                <c:pt idx="1">
                  <c:v>0</c:v>
                </c:pt>
              </c:numCache>
            </c:numRef>
          </c:val>
          <c:extLst>
            <c:ext xmlns:c16="http://schemas.microsoft.com/office/drawing/2014/chart" uri="{C3380CC4-5D6E-409C-BE32-E72D297353CC}">
              <c16:uniqueId val="{00000000-346B-44F6-A239-60B5752FC88E}"/>
            </c:ext>
          </c:extLst>
        </c:ser>
        <c:dLbls>
          <c:showLegendKey val="0"/>
          <c:showVal val="0"/>
          <c:showCatName val="0"/>
          <c:showSerName val="0"/>
          <c:showPercent val="0"/>
          <c:showBubbleSize val="0"/>
        </c:dLbls>
        <c:axId val="1723395984"/>
        <c:axId val="1878623728"/>
      </c:areaChart>
      <c:dateAx>
        <c:axId val="1723395984"/>
        <c:scaling>
          <c:orientation val="minMax"/>
        </c:scaling>
        <c:delete val="0"/>
        <c:axPos val="t"/>
        <c:numFmt formatCode="dd\ mmm\ yy" sourceLinked="1"/>
        <c:majorTickMark val="out"/>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623728"/>
        <c:crosses val="autoZero"/>
        <c:auto val="1"/>
        <c:lblOffset val="100"/>
        <c:baseTimeUnit val="days"/>
      </c:dateAx>
      <c:valAx>
        <c:axId val="1878623728"/>
        <c:scaling>
          <c:orientation val="maxMin"/>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39598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Returns expressed in</a:t>
            </a:r>
            <a:r>
              <a:rPr lang="en-US" baseline="0"/>
              <a:t> terms of Max Portfolio Volatility </a:t>
            </a:r>
            <a:r>
              <a:rPr lang="en-US"/>
              <a:t>WoW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v>Returns expressed in terms of Max Portfolio Volatility WoW</c:v>
          </c:tx>
          <c:spPr>
            <a:solidFill>
              <a:schemeClr val="accent3"/>
            </a:solidFill>
            <a:ln w="25400">
              <a:noFill/>
            </a:ln>
            <a:effectLst/>
          </c:spPr>
          <c:cat>
            <c:numRef>
              <c:f>('Portfolio History'!$A$13,'Portfolio History'!$A$24)</c:f>
              <c:numCache>
                <c:formatCode>dd\ mmm\ yy</c:formatCode>
                <c:ptCount val="2"/>
                <c:pt idx="0">
                  <c:v>43961</c:v>
                </c:pt>
                <c:pt idx="1">
                  <c:v>43968</c:v>
                </c:pt>
              </c:numCache>
            </c:numRef>
          </c:cat>
          <c:val>
            <c:numRef>
              <c:f>('Portfolio History'!$L$15,'Portfolio History'!$L$26)</c:f>
              <c:numCache>
                <c:formatCode>0.00%</c:formatCode>
                <c:ptCount val="2"/>
                <c:pt idx="0">
                  <c:v>1.729757607012633</c:v>
                </c:pt>
                <c:pt idx="1">
                  <c:v>0</c:v>
                </c:pt>
              </c:numCache>
            </c:numRef>
          </c:val>
          <c:extLst>
            <c:ext xmlns:c16="http://schemas.microsoft.com/office/drawing/2014/chart" uri="{C3380CC4-5D6E-409C-BE32-E72D297353CC}">
              <c16:uniqueId val="{00000000-9C1B-4193-BE2B-686BD5A8AF3F}"/>
            </c:ext>
          </c:extLst>
        </c:ser>
        <c:dLbls>
          <c:showLegendKey val="0"/>
          <c:showVal val="0"/>
          <c:showCatName val="0"/>
          <c:showSerName val="0"/>
          <c:showPercent val="0"/>
          <c:showBubbleSize val="0"/>
        </c:dLbls>
        <c:axId val="1723395984"/>
        <c:axId val="1878623728"/>
      </c:areaChart>
      <c:dateAx>
        <c:axId val="1723395984"/>
        <c:scaling>
          <c:orientation val="minMax"/>
        </c:scaling>
        <c:delete val="0"/>
        <c:axPos val="b"/>
        <c:numFmt formatCode="dd\ mmm\ 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623728"/>
        <c:crosses val="autoZero"/>
        <c:auto val="1"/>
        <c:lblOffset val="100"/>
        <c:baseTimeUnit val="days"/>
      </c:dateAx>
      <c:valAx>
        <c:axId val="1878623728"/>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39598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(P/L expressed</a:t>
            </a:r>
            <a:r>
              <a:rPr lang="en-US" baseline="0"/>
              <a:t> in terms of MPP) TbT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'Portfolio Visualisation'!$A$20:$D$20</c:f>
              <c:strCache>
                <c:ptCount val="1"/>
                <c:pt idx="0">
                  <c:v>Avg (P/L expressed in terms of MPP)</c:v>
                </c:pt>
              </c:strCache>
            </c:strRef>
          </c:tx>
          <c:spPr>
            <a:solidFill>
              <a:schemeClr val="accent3"/>
            </a:solidFill>
            <a:ln w="25400">
              <a:noFill/>
            </a:ln>
            <a:effectLst/>
          </c:spPr>
          <c:cat>
            <c:numRef>
              <c:f>('Portfolio History'!$A$13,'Portfolio History'!$A$24)</c:f>
              <c:numCache>
                <c:formatCode>dd\ mmm\ yy</c:formatCode>
                <c:ptCount val="2"/>
                <c:pt idx="0">
                  <c:v>43961</c:v>
                </c:pt>
                <c:pt idx="1">
                  <c:v>43968</c:v>
                </c:pt>
              </c:numCache>
            </c:numRef>
          </c:cat>
          <c:val>
            <c:numRef>
              <c:f>('Portfolio History'!$AA$14,'Portfolio History'!$AA$25)</c:f>
              <c:numCache>
                <c:formatCode>0.00%</c:formatCode>
                <c:ptCount val="2"/>
                <c:pt idx="0">
                  <c:v>0.37316593105065993</c:v>
                </c:pt>
                <c:pt idx="1">
                  <c:v>0.2</c:v>
                </c:pt>
              </c:numCache>
            </c:numRef>
          </c:val>
          <c:extLst>
            <c:ext xmlns:c16="http://schemas.microsoft.com/office/drawing/2014/chart" uri="{C3380CC4-5D6E-409C-BE32-E72D297353CC}">
              <c16:uniqueId val="{00000000-D5A5-4436-B138-55A2AF73BCB5}"/>
            </c:ext>
          </c:extLst>
        </c:ser>
        <c:dLbls>
          <c:showLegendKey val="0"/>
          <c:showVal val="0"/>
          <c:showCatName val="0"/>
          <c:showSerName val="0"/>
          <c:showPercent val="0"/>
          <c:showBubbleSize val="0"/>
        </c:dLbls>
        <c:axId val="1723395984"/>
        <c:axId val="1878623728"/>
      </c:areaChart>
      <c:dateAx>
        <c:axId val="1723395984"/>
        <c:scaling>
          <c:orientation val="minMax"/>
        </c:scaling>
        <c:delete val="0"/>
        <c:axPos val="b"/>
        <c:numFmt formatCode="dd\ mmm\ 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623728"/>
        <c:crosses val="autoZero"/>
        <c:auto val="1"/>
        <c:lblOffset val="100"/>
        <c:baseTimeUnit val="days"/>
      </c:dateAx>
      <c:valAx>
        <c:axId val="1878623728"/>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39598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 Parallel</a:t>
            </a:r>
            <a:r>
              <a:rPr lang="en-US" baseline="0"/>
              <a:t> to MPP (%) TbT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P/L (%)</c:v>
          </c:tx>
          <c:spPr>
            <a:solidFill>
              <a:schemeClr val="accent3">
                <a:tint val="77000"/>
              </a:schemeClr>
            </a:solidFill>
            <a:ln w="25400">
              <a:noFill/>
            </a:ln>
            <a:effectLst/>
          </c:spPr>
          <c:cat>
            <c:numRef>
              <c:f>('Portfolio History'!$A$9,'Portfolio History'!$A$10,'Portfolio History'!$A$11)</c:f>
              <c:numCache>
                <c:formatCode>dd\ mmm\ yy</c:formatCode>
                <c:ptCount val="3"/>
                <c:pt idx="0">
                  <c:v>43957</c:v>
                </c:pt>
                <c:pt idx="1">
                  <c:v>43958</c:v>
                </c:pt>
                <c:pt idx="2">
                  <c:v>43959</c:v>
                </c:pt>
              </c:numCache>
            </c:numRef>
          </c:cat>
          <c:val>
            <c:numRef>
              <c:f>('Portfolio History'!$X$9,'Portfolio History'!$X$10,'Portfolio History'!$X$11)</c:f>
              <c:numCache>
                <c:formatCode>0.00%</c:formatCode>
                <c:ptCount val="3"/>
                <c:pt idx="0">
                  <c:v>3.6626560000000271E-3</c:v>
                </c:pt>
                <c:pt idx="1">
                  <c:v>1.5159999999986212E-2</c:v>
                </c:pt>
                <c:pt idx="2">
                  <c:v>1.5159999999986211E-3</c:v>
                </c:pt>
              </c:numCache>
            </c:numRef>
          </c:val>
          <c:extLst>
            <c:ext xmlns:c16="http://schemas.microsoft.com/office/drawing/2014/chart" uri="{C3380CC4-5D6E-409C-BE32-E72D297353CC}">
              <c16:uniqueId val="{00000001-B591-4359-BCCB-3FE3281D1B43}"/>
            </c:ext>
          </c:extLst>
        </c:ser>
        <c:dLbls>
          <c:showLegendKey val="0"/>
          <c:showVal val="0"/>
          <c:showCatName val="0"/>
          <c:showSerName val="0"/>
          <c:showPercent val="0"/>
          <c:showBubbleSize val="0"/>
        </c:dLbls>
        <c:axId val="1723395984"/>
        <c:axId val="1878623728"/>
      </c:areaChart>
      <c:lineChart>
        <c:grouping val="standard"/>
        <c:varyColors val="0"/>
        <c:ser>
          <c:idx val="1"/>
          <c:order val="1"/>
          <c:tx>
            <c:v>MPP (%)</c:v>
          </c:tx>
          <c:spPr>
            <a:ln w="28575" cap="rnd">
              <a:solidFill>
                <a:schemeClr val="accent3">
                  <a:shade val="76000"/>
                </a:schemeClr>
              </a:solidFill>
              <a:round/>
            </a:ln>
            <a:effectLst/>
          </c:spPr>
          <c:marker>
            <c:symbol val="none"/>
          </c:marker>
          <c:cat>
            <c:numRef>
              <c:f>('Portfolio History'!$A$9,'Portfolio History'!$A$10,'Portfolio History'!$A$11)</c:f>
              <c:numCache>
                <c:formatCode>dd\ mmm\ yy</c:formatCode>
                <c:ptCount val="3"/>
                <c:pt idx="0">
                  <c:v>43957</c:v>
                </c:pt>
                <c:pt idx="1">
                  <c:v>43958</c:v>
                </c:pt>
                <c:pt idx="2">
                  <c:v>43959</c:v>
                </c:pt>
              </c:numCache>
            </c:numRef>
          </c:cat>
          <c:val>
            <c:numRef>
              <c:f>('Portfolio History'!$AB$9,'Portfolio History'!$AB$10,'Portfolio History'!$AB$11)</c:f>
              <c:numCache>
                <c:formatCode>0.00%</c:formatCode>
                <c:ptCount val="3"/>
                <c:pt idx="0">
                  <c:v>7.3253119999999875E-3</c:v>
                </c:pt>
                <c:pt idx="1">
                  <c:v>3.7790597938144155E-2</c:v>
                </c:pt>
                <c:pt idx="2">
                  <c:v>9.3870719999999998E-3</c:v>
                </c:pt>
              </c:numCache>
            </c:numRef>
          </c:val>
          <c:smooth val="0"/>
          <c:extLst>
            <c:ext xmlns:c16="http://schemas.microsoft.com/office/drawing/2014/chart" uri="{C3380CC4-5D6E-409C-BE32-E72D297353CC}">
              <c16:uniqueId val="{00000002-B591-4359-BCCB-3FE3281D1B43}"/>
            </c:ext>
          </c:extLst>
        </c:ser>
        <c:dLbls>
          <c:showLegendKey val="0"/>
          <c:showVal val="0"/>
          <c:showCatName val="0"/>
          <c:showSerName val="0"/>
          <c:showPercent val="0"/>
          <c:showBubbleSize val="0"/>
        </c:dLbls>
        <c:marker val="1"/>
        <c:smooth val="0"/>
        <c:axId val="1723395984"/>
        <c:axId val="1878623728"/>
      </c:lineChart>
      <c:dateAx>
        <c:axId val="1723395984"/>
        <c:scaling>
          <c:orientation val="minMax"/>
        </c:scaling>
        <c:delete val="0"/>
        <c:axPos val="b"/>
        <c:numFmt formatCode="dd\ mmm\ 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623728"/>
        <c:crosses val="autoZero"/>
        <c:auto val="1"/>
        <c:lblOffset val="100"/>
        <c:baseTimeUnit val="days"/>
      </c:dateAx>
      <c:valAx>
        <c:axId val="1878623728"/>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39598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Returns Parallel</a:t>
            </a:r>
            <a:r>
              <a:rPr lang="en-US" baseline="0"/>
              <a:t> to Max Portfolio Volatility WoW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v>Returns (%) WoW</c:v>
          </c:tx>
          <c:spPr>
            <a:solidFill>
              <a:schemeClr val="accent3">
                <a:tint val="77000"/>
              </a:schemeClr>
            </a:solidFill>
            <a:ln w="25400">
              <a:noFill/>
            </a:ln>
            <a:effectLst/>
          </c:spPr>
          <c:cat>
            <c:numRef>
              <c:f>('Portfolio History'!$A$13,'Portfolio History'!$A$24)</c:f>
              <c:numCache>
                <c:formatCode>dd\ mmm\ yy</c:formatCode>
                <c:ptCount val="2"/>
                <c:pt idx="0">
                  <c:v>43961</c:v>
                </c:pt>
                <c:pt idx="1">
                  <c:v>43968</c:v>
                </c:pt>
              </c:numCache>
            </c:numRef>
          </c:cat>
          <c:val>
            <c:numRef>
              <c:f>('Portfolio History'!$W$14,'Portfolio History'!$W$25)</c:f>
              <c:numCache>
                <c:formatCode>0.00%</c:formatCode>
                <c:ptCount val="2"/>
                <c:pt idx="0">
                  <c:v>2.0338655999984859E-2</c:v>
                </c:pt>
                <c:pt idx="1">
                  <c:v>0</c:v>
                </c:pt>
              </c:numCache>
            </c:numRef>
          </c:val>
          <c:extLst>
            <c:ext xmlns:c16="http://schemas.microsoft.com/office/drawing/2014/chart" uri="{C3380CC4-5D6E-409C-BE32-E72D297353CC}">
              <c16:uniqueId val="{00000001-5615-4311-9FF7-03BC71EBF932}"/>
            </c:ext>
          </c:extLst>
        </c:ser>
        <c:ser>
          <c:idx val="1"/>
          <c:order val="1"/>
          <c:tx>
            <c:v>Max Portfolio Volatility (%) WoW</c:v>
          </c:tx>
          <c:spPr>
            <a:solidFill>
              <a:schemeClr val="accent3">
                <a:shade val="76000"/>
              </a:schemeClr>
            </a:solidFill>
            <a:ln w="25400">
              <a:noFill/>
            </a:ln>
            <a:effectLst/>
          </c:spPr>
          <c:cat>
            <c:numRef>
              <c:f>('Portfolio History'!$A$13,'Portfolio History'!$A$24)</c:f>
              <c:numCache>
                <c:formatCode>dd\ mmm\ yy</c:formatCode>
                <c:ptCount val="2"/>
                <c:pt idx="0">
                  <c:v>43961</c:v>
                </c:pt>
                <c:pt idx="1">
                  <c:v>43968</c:v>
                </c:pt>
              </c:numCache>
            </c:numRef>
          </c:cat>
          <c:val>
            <c:numRef>
              <c:f>('Portfolio History'!$Q$14,'Portfolio History'!$Q$25)</c:f>
              <c:numCache>
                <c:formatCode>0.00%</c:formatCode>
                <c:ptCount val="2"/>
                <c:pt idx="0">
                  <c:v>-1.1758096000000027E-2</c:v>
                </c:pt>
                <c:pt idx="1">
                  <c:v>0</c:v>
                </c:pt>
              </c:numCache>
            </c:numRef>
          </c:val>
          <c:extLst>
            <c:ext xmlns:c16="http://schemas.microsoft.com/office/drawing/2014/chart" uri="{C3380CC4-5D6E-409C-BE32-E72D297353CC}">
              <c16:uniqueId val="{00000002-5615-4311-9FF7-03BC71EBF932}"/>
            </c:ext>
          </c:extLst>
        </c:ser>
        <c:dLbls>
          <c:showLegendKey val="0"/>
          <c:showVal val="0"/>
          <c:showCatName val="0"/>
          <c:showSerName val="0"/>
          <c:showPercent val="0"/>
          <c:showBubbleSize val="0"/>
        </c:dLbls>
        <c:axId val="1723395984"/>
        <c:axId val="1878623728"/>
      </c:areaChart>
      <c:dateAx>
        <c:axId val="1723395984"/>
        <c:scaling>
          <c:orientation val="minMax"/>
        </c:scaling>
        <c:delete val="0"/>
        <c:axPos val="b"/>
        <c:numFmt formatCode="dd\ mmm\ 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623728"/>
        <c:crosses val="autoZero"/>
        <c:auto val="1"/>
        <c:lblOffset val="100"/>
        <c:baseTimeUnit val="days"/>
      </c:dateAx>
      <c:valAx>
        <c:axId val="1878623728"/>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339598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withinLinearReversed" id="23">
  <a:schemeClr val="accent3"/>
</cs:colorStyle>
</file>

<file path=xl/charts/colors5.xml><?xml version="1.0" encoding="utf-8"?>
<cs:colorStyle xmlns:cs="http://schemas.microsoft.com/office/drawing/2012/chartStyle" xmlns:a="http://schemas.openxmlformats.org/drawingml/2006/main" meth="withinLinearReversed" id="23">
  <a:schemeClr val="accent3"/>
</cs:colorStyle>
</file>

<file path=xl/charts/colors6.xml><?xml version="1.0" encoding="utf-8"?>
<cs:colorStyle xmlns:cs="http://schemas.microsoft.com/office/drawing/2012/chartStyle" xmlns:a="http://schemas.openxmlformats.org/drawingml/2006/main" meth="withinLinearReversed" id="23">
  <a:schemeClr val="accent3"/>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9525</xdr:colOff>
      <xdr:row>0</xdr:row>
      <xdr:rowOff>66675</xdr:rowOff>
    </xdr:from>
    <xdr:to>
      <xdr:col>21</xdr:col>
      <xdr:colOff>581025</xdr:colOff>
      <xdr:row>14</xdr:row>
      <xdr:rowOff>142875</xdr:rowOff>
    </xdr:to>
    <xdr:graphicFrame macro="">
      <xdr:nvGraphicFramePr>
        <xdr:cNvPr id="2" name="Chart 1">
          <a:extLst>
            <a:ext uri="{FF2B5EF4-FFF2-40B4-BE49-F238E27FC236}">
              <a16:creationId xmlns:a16="http://schemas.microsoft.com/office/drawing/2014/main" id="{9AD9849A-26FB-4FE8-98C5-93EEABDAA6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15</xdr:row>
      <xdr:rowOff>114300</xdr:rowOff>
    </xdr:from>
    <xdr:to>
      <xdr:col>21</xdr:col>
      <xdr:colOff>581025</xdr:colOff>
      <xdr:row>30</xdr:row>
      <xdr:rowOff>0</xdr:rowOff>
    </xdr:to>
    <xdr:graphicFrame macro="">
      <xdr:nvGraphicFramePr>
        <xdr:cNvPr id="3" name="Chart 2">
          <a:extLst>
            <a:ext uri="{FF2B5EF4-FFF2-40B4-BE49-F238E27FC236}">
              <a16:creationId xmlns:a16="http://schemas.microsoft.com/office/drawing/2014/main" id="{4D179D4E-271D-4F60-A595-46578BD74A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xdr:colOff>
      <xdr:row>30</xdr:row>
      <xdr:rowOff>114300</xdr:rowOff>
    </xdr:from>
    <xdr:to>
      <xdr:col>21</xdr:col>
      <xdr:colOff>590550</xdr:colOff>
      <xdr:row>45</xdr:row>
      <xdr:rowOff>0</xdr:rowOff>
    </xdr:to>
    <xdr:graphicFrame macro="">
      <xdr:nvGraphicFramePr>
        <xdr:cNvPr id="4" name="Chart 3">
          <a:extLst>
            <a:ext uri="{FF2B5EF4-FFF2-40B4-BE49-F238E27FC236}">
              <a16:creationId xmlns:a16="http://schemas.microsoft.com/office/drawing/2014/main" id="{1CBE32EB-046A-4BFF-B035-39D3F6478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11907</xdr:colOff>
      <xdr:row>45</xdr:row>
      <xdr:rowOff>166687</xdr:rowOff>
    </xdr:from>
    <xdr:to>
      <xdr:col>21</xdr:col>
      <xdr:colOff>583407</xdr:colOff>
      <xdr:row>60</xdr:row>
      <xdr:rowOff>52387</xdr:rowOff>
    </xdr:to>
    <xdr:graphicFrame macro="">
      <xdr:nvGraphicFramePr>
        <xdr:cNvPr id="5" name="Chart 4">
          <a:extLst>
            <a:ext uri="{FF2B5EF4-FFF2-40B4-BE49-F238E27FC236}">
              <a16:creationId xmlns:a16="http://schemas.microsoft.com/office/drawing/2014/main" id="{45C72CFE-26EF-4038-8821-D21C6D467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119062</xdr:colOff>
      <xdr:row>45</xdr:row>
      <xdr:rowOff>154781</xdr:rowOff>
    </xdr:from>
    <xdr:to>
      <xdr:col>36</xdr:col>
      <xdr:colOff>11906</xdr:colOff>
      <xdr:row>60</xdr:row>
      <xdr:rowOff>40481</xdr:rowOff>
    </xdr:to>
    <xdr:graphicFrame macro="">
      <xdr:nvGraphicFramePr>
        <xdr:cNvPr id="6" name="Chart 5">
          <a:extLst>
            <a:ext uri="{FF2B5EF4-FFF2-40B4-BE49-F238E27FC236}">
              <a16:creationId xmlns:a16="http://schemas.microsoft.com/office/drawing/2014/main" id="{34FB97D5-02C3-4493-9B3B-2C30B0C935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108858</xdr:colOff>
      <xdr:row>30</xdr:row>
      <xdr:rowOff>108857</xdr:rowOff>
    </xdr:from>
    <xdr:to>
      <xdr:col>35</xdr:col>
      <xdr:colOff>585108</xdr:colOff>
      <xdr:row>44</xdr:row>
      <xdr:rowOff>185057</xdr:rowOff>
    </xdr:to>
    <xdr:graphicFrame macro="">
      <xdr:nvGraphicFramePr>
        <xdr:cNvPr id="7" name="Chart 6">
          <a:extLst>
            <a:ext uri="{FF2B5EF4-FFF2-40B4-BE49-F238E27FC236}">
              <a16:creationId xmlns:a16="http://schemas.microsoft.com/office/drawing/2014/main" id="{1031F918-E40A-4469-B265-770FC99D45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P27"/>
  <sheetViews>
    <sheetView showGridLines="0" topLeftCell="G1" zoomScale="60" zoomScaleNormal="60" workbookViewId="0">
      <selection activeCell="W9" sqref="W9"/>
    </sheetView>
  </sheetViews>
  <sheetFormatPr defaultRowHeight="15" x14ac:dyDescent="0.25"/>
  <cols>
    <col min="1" max="1" width="13.140625" style="20" bestFit="1" customWidth="1"/>
    <col min="2" max="2" width="17.7109375" style="2" bestFit="1" customWidth="1"/>
    <col min="3" max="3" width="12.5703125" style="2" bestFit="1" customWidth="1"/>
    <col min="4" max="4" width="12.5703125" style="2" customWidth="1"/>
    <col min="5" max="5" width="14.28515625" style="2" bestFit="1" customWidth="1"/>
    <col min="6" max="6" width="12.42578125" style="2" bestFit="1" customWidth="1"/>
    <col min="7" max="7" width="12.42578125" style="13" bestFit="1" customWidth="1"/>
    <col min="8" max="8" width="5.7109375" style="2" bestFit="1" customWidth="1"/>
    <col min="9" max="9" width="22.5703125" style="46" bestFit="1" customWidth="1"/>
    <col min="10" max="10" width="16.42578125" style="46" customWidth="1"/>
    <col min="11" max="11" width="14.42578125" style="46" bestFit="1" customWidth="1"/>
    <col min="12" max="12" width="9.140625" style="15" bestFit="1" customWidth="1"/>
    <col min="13" max="13" width="11.7109375" style="1" customWidth="1"/>
    <col min="14" max="14" width="13.85546875" style="2" bestFit="1" customWidth="1"/>
    <col min="15" max="15" width="12.85546875" style="2" bestFit="1" customWidth="1"/>
    <col min="16" max="16" width="10.7109375" style="15" customWidth="1"/>
    <col min="17" max="17" width="8.5703125" style="2" bestFit="1" customWidth="1"/>
    <col min="18" max="18" width="5" style="2" customWidth="1"/>
    <col min="19" max="19" width="17.28515625" style="2" bestFit="1" customWidth="1"/>
    <col min="20" max="20" width="14.5703125" style="46" customWidth="1"/>
    <col min="21" max="21" width="12.85546875" style="51" bestFit="1" customWidth="1"/>
    <col min="22" max="22" width="20.140625" style="17" bestFit="1" customWidth="1"/>
    <col min="23" max="23" width="7.42578125" style="15" bestFit="1" customWidth="1"/>
    <col min="24" max="24" width="14.42578125" style="32" bestFit="1" customWidth="1"/>
    <col min="25" max="25" width="12" style="92" customWidth="1"/>
    <col min="26" max="26" width="32.42578125" style="99" bestFit="1" customWidth="1"/>
    <col min="27" max="27" width="8.7109375" style="32" bestFit="1" customWidth="1"/>
    <col min="28" max="28" width="28.7109375" style="92" bestFit="1" customWidth="1"/>
    <col min="29" max="29" width="14.42578125" style="92" customWidth="1"/>
    <col min="30" max="30" width="7.140625" style="59" bestFit="1" customWidth="1"/>
    <col min="31" max="31" width="18.85546875" style="2" bestFit="1" customWidth="1"/>
    <col min="32" max="33" width="19.28515625" style="2" bestFit="1" customWidth="1"/>
    <col min="34" max="34" width="9.140625" style="2"/>
    <col min="35" max="35" width="13.42578125" style="2" bestFit="1" customWidth="1"/>
    <col min="36" max="36" width="11.140625" style="2" bestFit="1" customWidth="1"/>
    <col min="37" max="37" width="9.140625" style="2"/>
    <col min="38" max="38" width="9.28515625" style="2" bestFit="1" customWidth="1"/>
    <col min="39" max="39" width="8.28515625" style="2" bestFit="1" customWidth="1"/>
    <col min="40" max="40" width="9.140625" style="2"/>
    <col min="41" max="41" width="13.42578125" style="2" bestFit="1" customWidth="1"/>
    <col min="42" max="42" width="9.140625" style="72"/>
    <col min="43" max="16384" width="9.140625" style="2"/>
  </cols>
  <sheetData>
    <row r="1" spans="1:42" s="4" customFormat="1" x14ac:dyDescent="0.25">
      <c r="A1" s="7" t="s">
        <v>0</v>
      </c>
      <c r="C1" s="4" t="s">
        <v>1</v>
      </c>
      <c r="E1" s="4" t="s">
        <v>2</v>
      </c>
      <c r="G1" s="8" t="s">
        <v>3</v>
      </c>
      <c r="I1" s="39" t="s">
        <v>4</v>
      </c>
      <c r="J1" s="39" t="s">
        <v>5</v>
      </c>
      <c r="K1" s="39" t="s">
        <v>6</v>
      </c>
      <c r="L1" s="10"/>
      <c r="M1" s="9" t="s">
        <v>7</v>
      </c>
      <c r="N1" s="4" t="s">
        <v>8</v>
      </c>
      <c r="P1" s="10" t="s">
        <v>9</v>
      </c>
      <c r="R1" s="4" t="s">
        <v>10</v>
      </c>
      <c r="T1" s="39" t="s">
        <v>11</v>
      </c>
      <c r="U1" s="48"/>
      <c r="V1" s="11" t="s">
        <v>12</v>
      </c>
      <c r="W1" s="10"/>
      <c r="X1" s="56" t="s">
        <v>13</v>
      </c>
      <c r="Y1" s="56"/>
      <c r="Z1" s="98" t="s">
        <v>54</v>
      </c>
      <c r="AA1" s="56"/>
      <c r="AB1" s="56" t="s">
        <v>55</v>
      </c>
      <c r="AC1" s="56"/>
      <c r="AD1" s="58" t="s">
        <v>14</v>
      </c>
      <c r="AE1" s="4" t="s">
        <v>15</v>
      </c>
      <c r="AF1" s="4" t="s">
        <v>16</v>
      </c>
      <c r="AG1" s="4" t="s">
        <v>17</v>
      </c>
      <c r="AI1" s="4" t="s">
        <v>18</v>
      </c>
      <c r="AJ1" s="4" t="s">
        <v>19</v>
      </c>
      <c r="AL1" s="4" t="s">
        <v>20</v>
      </c>
      <c r="AM1" s="4" t="s">
        <v>21</v>
      </c>
      <c r="AO1" s="4" t="s">
        <v>22</v>
      </c>
      <c r="AP1" s="79"/>
    </row>
    <row r="3" spans="1:42" x14ac:dyDescent="0.25">
      <c r="A3" s="12" t="s">
        <v>23</v>
      </c>
      <c r="B3" s="108" t="s">
        <v>24</v>
      </c>
      <c r="C3" s="63" t="s">
        <v>25</v>
      </c>
      <c r="D3" s="64" t="s">
        <v>26</v>
      </c>
      <c r="E3" s="65" t="s">
        <v>27</v>
      </c>
      <c r="F3" s="62"/>
      <c r="G3" s="66" t="s">
        <v>28</v>
      </c>
      <c r="I3" s="54" t="s">
        <v>29</v>
      </c>
      <c r="J3" s="14" t="s">
        <v>30</v>
      </c>
      <c r="K3" s="54" t="s">
        <v>56</v>
      </c>
      <c r="S3" s="16" t="s">
        <v>31</v>
      </c>
      <c r="T3" s="40"/>
      <c r="U3" s="49"/>
      <c r="X3" s="81"/>
      <c r="AA3" s="81"/>
    </row>
    <row r="4" spans="1:42" x14ac:dyDescent="0.25">
      <c r="A4" s="18">
        <v>7.5800000000000006E-2</v>
      </c>
      <c r="B4" s="109">
        <v>0</v>
      </c>
      <c r="C4" s="67" t="s">
        <v>32</v>
      </c>
      <c r="D4" s="68" t="s">
        <v>32</v>
      </c>
      <c r="E4" s="69" t="s">
        <v>32</v>
      </c>
      <c r="F4" s="68"/>
      <c r="G4" s="69"/>
      <c r="I4" s="55">
        <v>100</v>
      </c>
      <c r="J4" s="19">
        <v>10000</v>
      </c>
      <c r="K4" s="97" t="b">
        <v>1</v>
      </c>
      <c r="S4" s="19"/>
      <c r="T4" s="41"/>
      <c r="U4" s="50"/>
      <c r="X4" s="81"/>
      <c r="AA4" s="81"/>
    </row>
    <row r="5" spans="1:42" x14ac:dyDescent="0.25">
      <c r="B5" s="110" t="s">
        <v>58</v>
      </c>
    </row>
    <row r="6" spans="1:42" x14ac:dyDescent="0.25">
      <c r="O6" s="3"/>
      <c r="P6" s="113" t="s">
        <v>33</v>
      </c>
      <c r="Q6" s="113"/>
      <c r="R6" s="113"/>
      <c r="S6" s="21">
        <v>50000</v>
      </c>
      <c r="T6" s="42"/>
      <c r="U6" s="42"/>
      <c r="X6" s="81"/>
      <c r="AA6" s="81"/>
    </row>
    <row r="7" spans="1:42" x14ac:dyDescent="0.25">
      <c r="A7" s="7">
        <v>43955</v>
      </c>
      <c r="C7" s="73"/>
      <c r="E7" s="2" t="str">
        <f>IF(K7&gt;J7,"Buy",IF(K7&lt;J7,"Sell",""))</f>
        <v/>
      </c>
      <c r="G7" s="22"/>
      <c r="I7" s="43"/>
      <c r="J7" s="43"/>
      <c r="K7" s="43"/>
      <c r="M7" s="1" t="str">
        <f>IF(I7=0,"",ABS(J7-I7)*$J$4)</f>
        <v/>
      </c>
      <c r="N7" s="23" t="str">
        <f>IF(I7=0,"",((G7*100)*$A$4)*(ABS(M7/$J$4)*$J$4))</f>
        <v/>
      </c>
      <c r="P7" s="15" t="str">
        <f>IF(N7="","",N7/$S$6)</f>
        <v/>
      </c>
      <c r="R7" s="1" t="str">
        <f>IF(K7=0,"",ABS(J7-K7)/ABS(J7-I7))</f>
        <v/>
      </c>
      <c r="S7" s="1"/>
      <c r="T7" s="43"/>
      <c r="V7" s="53" t="str">
        <f>IF(T7=$S$4,"",(ABS(T7-J7)*((G7*$I$4)*$A$4)*$J$4)-G7*B4)</f>
        <v/>
      </c>
      <c r="X7" s="81" t="str">
        <f>IF(V7=$S$4,"",V7/$S$6)</f>
        <v/>
      </c>
      <c r="Z7" s="99" t="str">
        <f t="shared" ref="Z7:Z8" si="0">IF(R7="","",IF($K$4=TRUE,N7*R7,ABS(J7-K7)*$J$4*(G7*$A$4*I2)))</f>
        <v/>
      </c>
      <c r="AA7" s="81"/>
      <c r="AB7" s="96" t="str">
        <f t="shared" ref="AB7:AB11" si="1">IF(Z7="","",Z7/$S$6)</f>
        <v/>
      </c>
      <c r="AD7" s="59" t="str">
        <f>IF(T7=$S$4,"",ROUND((V7/N7),2)&amp;"R")</f>
        <v/>
      </c>
    </row>
    <row r="8" spans="1:42" x14ac:dyDescent="0.25">
      <c r="A8" s="24">
        <v>43956</v>
      </c>
      <c r="C8" s="73"/>
      <c r="E8" s="2" t="str">
        <f t="shared" ref="E8:E11" si="2">IF(K8&gt;J8,"Buy",IF(K8&lt;J8,"Sell",""))</f>
        <v/>
      </c>
      <c r="G8" s="22"/>
      <c r="I8" s="43"/>
      <c r="J8" s="43"/>
      <c r="K8" s="43"/>
      <c r="M8" s="1" t="str">
        <f>IF(I8=0,"",ABS(J8-I8)*$J$4)</f>
        <v/>
      </c>
      <c r="N8" s="23" t="str">
        <f>IF(I8=0,"",((G8*100)*$A$4)*(ABS(M8/$J$4)*$J$4))</f>
        <v/>
      </c>
      <c r="P8" s="15" t="str">
        <f>IF(N8="","",N8/$S$6)</f>
        <v/>
      </c>
      <c r="R8" s="1" t="str">
        <f t="shared" ref="R8:R10" si="3">IF(K8=0,"",ABS(J8-K8)/ABS(J8-I8))</f>
        <v/>
      </c>
      <c r="T8" s="43"/>
      <c r="V8" s="53" t="str">
        <f>IF(T8=$S$4,"",ABS(T8-J8)*((G8*$I$4)*$A$4)*$J$4)</f>
        <v/>
      </c>
      <c r="X8" s="81" t="str">
        <f t="shared" ref="X8:X11" si="4">IF(V8=$S$4,"",V8/$S$6)</f>
        <v/>
      </c>
      <c r="Z8" s="99" t="str">
        <f t="shared" si="0"/>
        <v/>
      </c>
      <c r="AA8" s="81"/>
      <c r="AB8" s="96" t="str">
        <f t="shared" si="1"/>
        <v/>
      </c>
      <c r="AD8" s="59" t="str">
        <f t="shared" ref="AD8:AD11" si="5">IF(T8=$S$4,"",ROUND((V8/N8),2)&amp;"R")</f>
        <v/>
      </c>
    </row>
    <row r="9" spans="1:42" x14ac:dyDescent="0.25">
      <c r="A9" s="24">
        <v>43957</v>
      </c>
      <c r="C9" s="73" t="s">
        <v>66</v>
      </c>
      <c r="E9" s="2" t="str">
        <f t="shared" si="2"/>
        <v>Buy</v>
      </c>
      <c r="G9" s="22">
        <v>0.2</v>
      </c>
      <c r="I9" s="43">
        <v>1.87737</v>
      </c>
      <c r="J9" s="43">
        <v>1.8894500000000001</v>
      </c>
      <c r="K9" s="43">
        <v>1.91361</v>
      </c>
      <c r="M9" s="1">
        <f>IF(I9=0,"",ABS(J9-I9)*$J$4)</f>
        <v>120.80000000000091</v>
      </c>
      <c r="N9" s="23">
        <f>IF(I9=0,"",((G9*100)*$A$4)*(ABS(M9/$J$4)*$J$4))</f>
        <v>183.13280000000137</v>
      </c>
      <c r="P9" s="15">
        <f>IF(N9="","",N9/$S$6)</f>
        <v>3.6626560000000271E-3</v>
      </c>
      <c r="R9" s="1">
        <f t="shared" si="3"/>
        <v>1.9999999999999816</v>
      </c>
      <c r="T9" s="43">
        <v>1.87737</v>
      </c>
      <c r="V9" s="53">
        <f>IF(T9=$S$4,"",ABS(T9-J9)*((G9*$I$4)*$A$4)*$J$4)</f>
        <v>183.13280000000137</v>
      </c>
      <c r="X9" s="81">
        <f t="shared" si="4"/>
        <v>3.6626560000000271E-3</v>
      </c>
      <c r="Z9" s="99">
        <f>IF(R9="","",IF($K$4=TRUE,N9*R9,ABS(J9-K9)*$J$4*(G9*$A$4*I4)))</f>
        <v>366.26559999999938</v>
      </c>
      <c r="AA9" s="81"/>
      <c r="AB9" s="96">
        <f t="shared" si="1"/>
        <v>7.3253119999999875E-3</v>
      </c>
      <c r="AD9" s="59" t="str">
        <f t="shared" si="5"/>
        <v>1R</v>
      </c>
    </row>
    <row r="10" spans="1:42" x14ac:dyDescent="0.25">
      <c r="A10" s="24">
        <v>43958</v>
      </c>
      <c r="C10" s="143" t="s">
        <v>66</v>
      </c>
      <c r="E10" s="2" t="str">
        <f t="shared" si="2"/>
        <v>Buy</v>
      </c>
      <c r="G10" s="22">
        <v>0.2</v>
      </c>
      <c r="I10" s="43">
        <v>1676.6</v>
      </c>
      <c r="J10" s="43">
        <v>1696</v>
      </c>
      <c r="K10" s="43">
        <v>1820</v>
      </c>
      <c r="M10" s="1">
        <v>195</v>
      </c>
      <c r="N10" s="23">
        <f>IF(I10=0,"",((G10*100)*$A$4)*(ABS(M10/$J$4)*$J$4))</f>
        <v>295.62</v>
      </c>
      <c r="P10" s="15">
        <f>IF(N10="","",N10/$S$6)</f>
        <v>5.9123999999999999E-3</v>
      </c>
      <c r="R10" s="1">
        <f t="shared" si="3"/>
        <v>6.3917525773195578</v>
      </c>
      <c r="T10" s="43">
        <v>1696.05</v>
      </c>
      <c r="V10" s="53">
        <f t="shared" ref="V10:V11" si="6">IF(T10=$S$4,"",ABS(T10-J10)*((G10*$I$4)*$A$4)*$J$4)</f>
        <v>757.9999999993106</v>
      </c>
      <c r="X10" s="81">
        <f t="shared" si="4"/>
        <v>1.5159999999986212E-2</v>
      </c>
      <c r="Z10" s="99">
        <f t="shared" ref="Z10:Z11" si="7">IF(R10="","",IF($K$4=TRUE,N10*R10,ABS(J10-K10)*$J$4*(G10*$A$4*I5)))</f>
        <v>1889.5298969072078</v>
      </c>
      <c r="AA10" s="81"/>
      <c r="AB10" s="96">
        <f t="shared" si="1"/>
        <v>3.7790597938144155E-2</v>
      </c>
      <c r="AD10" s="59" t="str">
        <f t="shared" si="5"/>
        <v>2.56R</v>
      </c>
      <c r="AE10" s="118"/>
      <c r="AF10" s="119"/>
      <c r="AG10" s="119"/>
      <c r="AM10" s="70"/>
    </row>
    <row r="11" spans="1:42" x14ac:dyDescent="0.25">
      <c r="A11" s="24">
        <v>43959</v>
      </c>
      <c r="C11" s="143" t="s">
        <v>66</v>
      </c>
      <c r="E11" s="2" t="str">
        <f t="shared" si="2"/>
        <v>Sell</v>
      </c>
      <c r="G11" s="22">
        <v>0.2</v>
      </c>
      <c r="I11" s="43">
        <v>117.2</v>
      </c>
      <c r="J11" s="43">
        <v>116.4</v>
      </c>
      <c r="K11" s="43">
        <v>113.5</v>
      </c>
      <c r="M11" s="1">
        <v>72</v>
      </c>
      <c r="N11" s="23">
        <f>IF(I11=0,"",((G11*100)*$A$4)*(ABS(M11/$J$4)*$J$4))</f>
        <v>109.152</v>
      </c>
      <c r="P11" s="15">
        <f>IF(N11="","",N11/$S$6)</f>
        <v>2.1830399999999998E-3</v>
      </c>
      <c r="R11" s="1">
        <v>4.3</v>
      </c>
      <c r="T11" s="43">
        <v>116.405</v>
      </c>
      <c r="V11" s="53">
        <f t="shared" si="6"/>
        <v>75.79999999993106</v>
      </c>
      <c r="X11" s="81">
        <f t="shared" si="4"/>
        <v>1.5159999999986211E-3</v>
      </c>
      <c r="Z11" s="99">
        <f t="shared" si="7"/>
        <v>469.35359999999997</v>
      </c>
      <c r="AA11" s="81"/>
      <c r="AB11" s="96">
        <f t="shared" si="1"/>
        <v>9.3870719999999998E-3</v>
      </c>
      <c r="AD11" s="59" t="str">
        <f t="shared" si="5"/>
        <v>0.69R</v>
      </c>
      <c r="AE11" s="76"/>
      <c r="AF11" s="76"/>
      <c r="AM11" s="70"/>
    </row>
    <row r="13" spans="1:42" x14ac:dyDescent="0.25">
      <c r="A13" s="25">
        <v>43961</v>
      </c>
      <c r="B13" s="26"/>
      <c r="C13" s="26"/>
      <c r="D13" s="26"/>
      <c r="E13" s="26"/>
      <c r="F13" s="26"/>
      <c r="G13" s="27"/>
      <c r="H13" s="26"/>
      <c r="I13" s="44"/>
      <c r="J13" s="44"/>
      <c r="K13" s="44"/>
      <c r="L13" s="106"/>
      <c r="M13" s="28"/>
      <c r="N13" s="26"/>
      <c r="O13" s="94" t="s">
        <v>34</v>
      </c>
      <c r="P13" s="29"/>
      <c r="Q13" s="95" t="s">
        <v>35</v>
      </c>
      <c r="R13" s="26"/>
      <c r="S13" s="26"/>
      <c r="T13" s="104"/>
      <c r="U13" s="52" t="s">
        <v>34</v>
      </c>
      <c r="V13" s="30"/>
      <c r="W13" s="102" t="s">
        <v>35</v>
      </c>
      <c r="X13" s="29"/>
      <c r="Y13" s="29"/>
      <c r="Z13" s="122" t="s">
        <v>59</v>
      </c>
      <c r="AA13" s="123"/>
      <c r="AB13" s="124"/>
      <c r="AC13" s="29"/>
      <c r="AD13" s="60"/>
      <c r="AE13" s="75"/>
      <c r="AF13" s="75"/>
      <c r="AG13" s="75"/>
      <c r="AJ13" s="70"/>
      <c r="AO13" s="71"/>
    </row>
    <row r="14" spans="1:42" x14ac:dyDescent="0.25">
      <c r="A14" s="31"/>
      <c r="B14" s="5"/>
      <c r="C14" s="5"/>
      <c r="D14" s="5"/>
      <c r="E14" s="5"/>
      <c r="F14" s="114" t="s">
        <v>36</v>
      </c>
      <c r="G14" s="114"/>
      <c r="H14" s="74">
        <f>SUM(G7:G11)</f>
        <v>0.60000000000000009</v>
      </c>
      <c r="I14" s="57" t="s">
        <v>37</v>
      </c>
      <c r="J14" s="41"/>
      <c r="K14" s="41"/>
      <c r="L14" s="115" t="s">
        <v>38</v>
      </c>
      <c r="M14" s="116"/>
      <c r="N14" s="116"/>
      <c r="O14" s="38">
        <f>-SUM(N7:N11)</f>
        <v>-587.90480000000139</v>
      </c>
      <c r="P14" s="92"/>
      <c r="Q14" s="107">
        <f>-SUM(P7:P11)</f>
        <v>-1.1758096000000027E-2</v>
      </c>
      <c r="R14" s="5"/>
      <c r="S14" s="5"/>
      <c r="T14" s="105" t="s">
        <v>39</v>
      </c>
      <c r="U14" s="83">
        <f>SUM(V7:V11)</f>
        <v>1016.932799999243</v>
      </c>
      <c r="V14" s="33"/>
      <c r="W14" s="103">
        <f>U14/S6</f>
        <v>2.0338655999984859E-2</v>
      </c>
      <c r="Y14" s="101"/>
      <c r="Z14" s="111" t="s">
        <v>57</v>
      </c>
      <c r="AA14" s="112">
        <f>IF(SUM(Z7:Z11)=0,"",U14/SUM(Z7:Z11))</f>
        <v>0.37316593105065993</v>
      </c>
      <c r="AB14" s="93"/>
    </row>
    <row r="15" spans="1:42" x14ac:dyDescent="0.25">
      <c r="A15" s="31"/>
      <c r="B15" s="5"/>
      <c r="C15" s="5"/>
      <c r="D15" s="5"/>
      <c r="E15" s="5"/>
      <c r="F15" s="5"/>
      <c r="G15" s="82"/>
      <c r="H15" s="5"/>
      <c r="J15" s="120" t="s">
        <v>40</v>
      </c>
      <c r="K15" s="120"/>
      <c r="L15" s="81">
        <f>ABS(IF(U14=0,0,U14/O14))</f>
        <v>1.729757607012633</v>
      </c>
      <c r="M15" s="6"/>
      <c r="N15" s="5"/>
      <c r="O15" s="5"/>
      <c r="P15" s="81"/>
      <c r="Q15" s="5"/>
      <c r="R15" s="5"/>
      <c r="S15" s="5"/>
      <c r="T15" s="41"/>
      <c r="U15" s="50"/>
      <c r="V15" s="33"/>
      <c r="W15" s="81"/>
      <c r="X15" s="81"/>
      <c r="AA15" s="81"/>
    </row>
    <row r="16" spans="1:42" x14ac:dyDescent="0.25">
      <c r="A16" s="34"/>
      <c r="B16" s="77"/>
      <c r="C16" s="77"/>
      <c r="D16" s="77"/>
      <c r="E16" s="77"/>
      <c r="F16" s="77"/>
      <c r="G16" s="78"/>
      <c r="H16" s="77"/>
      <c r="I16" s="47"/>
      <c r="J16" s="47"/>
      <c r="K16" s="47"/>
      <c r="L16" s="80"/>
      <c r="M16" s="35"/>
      <c r="N16" s="77"/>
      <c r="O16" s="77"/>
      <c r="P16" s="117" t="s">
        <v>33</v>
      </c>
      <c r="Q16" s="117"/>
      <c r="R16" s="117"/>
      <c r="S16" s="37">
        <f>SUM(S6,V7:V11)</f>
        <v>51016.932799999238</v>
      </c>
      <c r="T16" s="45"/>
      <c r="U16" s="45"/>
      <c r="V16" s="36"/>
      <c r="W16" s="80"/>
      <c r="X16" s="80"/>
      <c r="Y16" s="91"/>
      <c r="Z16" s="100"/>
      <c r="AA16" s="80"/>
      <c r="AB16" s="91"/>
      <c r="AC16" s="91"/>
      <c r="AD16" s="61"/>
    </row>
    <row r="18" spans="1:30" x14ac:dyDescent="0.25">
      <c r="A18" s="7">
        <v>43962</v>
      </c>
      <c r="C18" s="73"/>
      <c r="E18" s="2" t="str">
        <f>IF(K18&gt;J18,"Buy",IF(K18&lt;J18,"Sell",""))</f>
        <v/>
      </c>
      <c r="G18" s="22"/>
      <c r="I18" s="43"/>
      <c r="J18" s="43"/>
      <c r="K18" s="43"/>
      <c r="M18" s="1" t="str">
        <f>IF(I18=0,"",ABS(J18-I18)*$J$4)</f>
        <v/>
      </c>
      <c r="N18" s="23" t="str">
        <f>IF(I18=0,"",((G18*100)*$A$4)*(ABS(M18/$J$4)*$J$4))</f>
        <v/>
      </c>
      <c r="P18" s="15" t="str">
        <f>IF(N18="","",N18/$S$6)</f>
        <v/>
      </c>
      <c r="R18" s="1" t="str">
        <f>IF(K18=0,"",ABS(J18-K18)/ABS(J18-I18))</f>
        <v/>
      </c>
      <c r="S18" s="1"/>
      <c r="T18" s="43"/>
      <c r="X18" s="81"/>
      <c r="AA18" s="81"/>
    </row>
    <row r="19" spans="1:30" x14ac:dyDescent="0.25">
      <c r="A19" s="24">
        <v>43963</v>
      </c>
      <c r="C19" s="73"/>
      <c r="E19" s="2" t="str">
        <f t="shared" ref="E19:E22" si="8">IF(K19&gt;J19,"Buy",IF(K19&lt;J19,"Sell",""))</f>
        <v/>
      </c>
      <c r="G19" s="22"/>
      <c r="I19" s="43"/>
      <c r="J19" s="43"/>
      <c r="K19" s="43"/>
      <c r="M19" s="1" t="str">
        <f>IF(I19=0,"",ABS(J19-I19)*$J$4)</f>
        <v/>
      </c>
      <c r="N19" s="23" t="str">
        <f>IF(I19=0,"",((G19*100)*$A$4)*(ABS(M19/$J$4)*$J$4))</f>
        <v/>
      </c>
      <c r="P19" s="15" t="str">
        <f>IF(N19="","",N19/$S$6)</f>
        <v/>
      </c>
      <c r="R19" s="1" t="str">
        <f t="shared" ref="R19:R22" si="9">IF(K19=0,"",ABS(J19-K19)/ABS(J19-I19))</f>
        <v/>
      </c>
      <c r="T19" s="43"/>
      <c r="X19" s="81"/>
      <c r="AA19" s="81"/>
    </row>
    <row r="20" spans="1:30" x14ac:dyDescent="0.25">
      <c r="A20" s="24">
        <v>43964</v>
      </c>
      <c r="C20" s="73"/>
      <c r="E20" s="2" t="str">
        <f t="shared" si="8"/>
        <v/>
      </c>
      <c r="G20" s="22"/>
      <c r="I20" s="43"/>
      <c r="J20" s="43"/>
      <c r="K20" s="43"/>
      <c r="M20" s="1" t="str">
        <f>IF(I20=0,"",ABS(J20-I20)*$J$4)</f>
        <v/>
      </c>
      <c r="N20" s="23" t="str">
        <f>IF(I20=0,"",((G20*100)*$A$4)*(ABS(M20/$J$4)*$J$4))</f>
        <v/>
      </c>
      <c r="P20" s="15" t="str">
        <f>IF(N20="","",N20/$S$6)</f>
        <v/>
      </c>
      <c r="R20" s="1" t="str">
        <f t="shared" si="9"/>
        <v/>
      </c>
      <c r="T20" s="43"/>
      <c r="X20" s="81"/>
      <c r="AA20" s="81"/>
    </row>
    <row r="21" spans="1:30" x14ac:dyDescent="0.25">
      <c r="A21" s="24">
        <v>43965</v>
      </c>
      <c r="C21" s="73"/>
      <c r="E21" s="2" t="str">
        <f t="shared" si="8"/>
        <v/>
      </c>
      <c r="G21" s="22"/>
      <c r="I21" s="43"/>
      <c r="J21" s="43"/>
      <c r="K21" s="43"/>
      <c r="M21" s="1" t="str">
        <f>IF(I21=0,"",ABS(J21-I21)*$J$4)</f>
        <v/>
      </c>
      <c r="N21" s="23" t="str">
        <f>IF(I21=0,"",((G21*100)*$A$4)*(ABS(M21/$J$4)*$J$4))</f>
        <v/>
      </c>
      <c r="P21" s="15" t="str">
        <f>IF(N21="","",N21/$S$6)</f>
        <v/>
      </c>
      <c r="R21" s="1" t="str">
        <f t="shared" si="9"/>
        <v/>
      </c>
      <c r="T21" s="43"/>
      <c r="X21" s="81"/>
      <c r="AA21" s="81"/>
    </row>
    <row r="22" spans="1:30" x14ac:dyDescent="0.25">
      <c r="A22" s="24">
        <v>43966</v>
      </c>
      <c r="C22" s="73"/>
      <c r="E22" s="2" t="str">
        <f t="shared" si="8"/>
        <v/>
      </c>
      <c r="G22" s="22"/>
      <c r="I22" s="43"/>
      <c r="J22" s="43"/>
      <c r="K22" s="43"/>
      <c r="M22" s="1" t="str">
        <f>IF(I22=0,"",ABS(J22-I22)*$J$4)</f>
        <v/>
      </c>
      <c r="N22" s="23" t="str">
        <f>IF(I22=0,"",((G22*100)*$A$4)*(ABS(M22/$J$4)*$J$4))</f>
        <v/>
      </c>
      <c r="P22" s="15" t="str">
        <f>IF(N22="","",N22/$S$6)</f>
        <v/>
      </c>
      <c r="R22" s="1" t="str">
        <f t="shared" si="9"/>
        <v/>
      </c>
      <c r="T22" s="43"/>
      <c r="X22" s="81"/>
      <c r="AA22" s="81"/>
    </row>
    <row r="24" spans="1:30" x14ac:dyDescent="0.25">
      <c r="A24" s="25">
        <v>43968</v>
      </c>
      <c r="B24" s="26"/>
      <c r="C24" s="26"/>
      <c r="D24" s="26"/>
      <c r="E24" s="26"/>
      <c r="F24" s="26"/>
      <c r="G24" s="27"/>
      <c r="H24" s="26"/>
      <c r="I24" s="44"/>
      <c r="J24" s="44"/>
      <c r="K24" s="44"/>
      <c r="L24" s="106"/>
      <c r="M24" s="28"/>
      <c r="N24" s="26"/>
      <c r="O24" s="94" t="s">
        <v>34</v>
      </c>
      <c r="P24" s="29"/>
      <c r="Q24" s="95" t="s">
        <v>35</v>
      </c>
      <c r="R24" s="26"/>
      <c r="S24" s="26"/>
      <c r="T24" s="104"/>
      <c r="U24" s="52" t="s">
        <v>34</v>
      </c>
      <c r="V24" s="30"/>
      <c r="W24" s="102" t="s">
        <v>35</v>
      </c>
      <c r="X24" s="29"/>
      <c r="Y24" s="29"/>
      <c r="Z24" s="122" t="s">
        <v>59</v>
      </c>
      <c r="AA24" s="123"/>
      <c r="AB24" s="124"/>
      <c r="AC24" s="29"/>
      <c r="AD24" s="60"/>
    </row>
    <row r="25" spans="1:30" x14ac:dyDescent="0.25">
      <c r="A25" s="31"/>
      <c r="B25" s="5"/>
      <c r="C25" s="5"/>
      <c r="D25" s="5"/>
      <c r="E25" s="5"/>
      <c r="F25" s="114" t="s">
        <v>36</v>
      </c>
      <c r="G25" s="114"/>
      <c r="H25" s="74">
        <f>SUM(G18:G22)</f>
        <v>0</v>
      </c>
      <c r="I25" s="57" t="s">
        <v>37</v>
      </c>
      <c r="J25" s="41"/>
      <c r="K25" s="41"/>
      <c r="L25" s="115" t="s">
        <v>38</v>
      </c>
      <c r="M25" s="116"/>
      <c r="N25" s="116"/>
      <c r="O25" s="38">
        <f>-SUM(N18:N22)</f>
        <v>0</v>
      </c>
      <c r="P25" s="92"/>
      <c r="Q25" s="107">
        <f>-SUM(P18:P22)</f>
        <v>0</v>
      </c>
      <c r="R25" s="5"/>
      <c r="S25" s="5"/>
      <c r="T25" s="105" t="s">
        <v>39</v>
      </c>
      <c r="U25" s="83">
        <f>SUM(V18:V22)</f>
        <v>0</v>
      </c>
      <c r="V25" s="33"/>
      <c r="W25" s="103">
        <f>U25/S16</f>
        <v>0</v>
      </c>
      <c r="X25" s="121"/>
      <c r="Y25" s="121"/>
      <c r="Z25" s="111" t="s">
        <v>57</v>
      </c>
      <c r="AA25" s="92">
        <f>IF(SUM(Z18:Z22)=0,0.2,U25/SUM(Z18:Z22))</f>
        <v>0.2</v>
      </c>
      <c r="AB25" s="93"/>
    </row>
    <row r="26" spans="1:30" x14ac:dyDescent="0.25">
      <c r="A26" s="31"/>
      <c r="B26" s="5"/>
      <c r="C26" s="5"/>
      <c r="D26" s="5"/>
      <c r="E26" s="5"/>
      <c r="F26" s="5"/>
      <c r="G26" s="82"/>
      <c r="H26" s="5"/>
      <c r="I26" s="41"/>
      <c r="J26" s="120" t="s">
        <v>40</v>
      </c>
      <c r="K26" s="120"/>
      <c r="L26" s="81">
        <f>ABS(IF(U25=0,0,U25/O25))</f>
        <v>0</v>
      </c>
      <c r="M26" s="6"/>
      <c r="N26" s="5"/>
      <c r="O26" s="5"/>
      <c r="P26" s="81"/>
      <c r="Q26" s="5"/>
      <c r="R26" s="5"/>
      <c r="S26" s="5"/>
      <c r="T26" s="41"/>
      <c r="U26" s="50"/>
      <c r="V26" s="33"/>
      <c r="W26" s="81"/>
      <c r="X26" s="81"/>
      <c r="AA26" s="81"/>
    </row>
    <row r="27" spans="1:30" x14ac:dyDescent="0.25">
      <c r="A27" s="34"/>
      <c r="B27" s="77"/>
      <c r="C27" s="77"/>
      <c r="D27" s="77"/>
      <c r="E27" s="77"/>
      <c r="F27" s="77"/>
      <c r="G27" s="78"/>
      <c r="H27" s="77"/>
      <c r="I27" s="47"/>
      <c r="J27" s="47"/>
      <c r="K27" s="47"/>
      <c r="L27" s="80"/>
      <c r="M27" s="35"/>
      <c r="N27" s="77"/>
      <c r="O27" s="77"/>
      <c r="P27" s="117" t="s">
        <v>33</v>
      </c>
      <c r="Q27" s="117"/>
      <c r="R27" s="117"/>
      <c r="S27" s="37">
        <f>SUM(S16,V18:V22)</f>
        <v>51016.932799999238</v>
      </c>
      <c r="T27" s="45"/>
      <c r="U27" s="45"/>
      <c r="V27" s="36"/>
      <c r="W27" s="80"/>
      <c r="X27" s="80"/>
      <c r="Y27" s="91"/>
      <c r="Z27" s="100"/>
      <c r="AA27" s="80"/>
      <c r="AB27" s="91"/>
      <c r="AC27" s="91"/>
      <c r="AD27" s="61"/>
    </row>
  </sheetData>
  <mergeCells count="13">
    <mergeCell ref="P6:R6"/>
    <mergeCell ref="F25:G25"/>
    <mergeCell ref="L25:N25"/>
    <mergeCell ref="P27:R27"/>
    <mergeCell ref="AE10:AG10"/>
    <mergeCell ref="J15:K15"/>
    <mergeCell ref="J26:K26"/>
    <mergeCell ref="P16:R16"/>
    <mergeCell ref="F14:G14"/>
    <mergeCell ref="L14:N14"/>
    <mergeCell ref="X25:Y25"/>
    <mergeCell ref="Z13:AB13"/>
    <mergeCell ref="Z24:AB24"/>
  </mergeCells>
  <conditionalFormatting sqref="AA14 AA25">
    <cfRule type="cellIs" dxfId="1" priority="1" operator="lessThan">
      <formula>70</formula>
    </cfRule>
    <cfRule type="cellIs" dxfId="0" priority="2" operator="greaterThan">
      <formula>70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4262A-B548-4DD4-A876-201CB936DA5B}">
  <dimension ref="A1:AN60"/>
  <sheetViews>
    <sheetView showGridLines="0" tabSelected="1" topLeftCell="B1" zoomScale="70" zoomScaleNormal="70" workbookViewId="0">
      <selection activeCell="AL22" sqref="AL22"/>
    </sheetView>
  </sheetViews>
  <sheetFormatPr defaultRowHeight="15" x14ac:dyDescent="0.25"/>
  <cols>
    <col min="1" max="1" width="57.5703125" bestFit="1" customWidth="1"/>
    <col min="2" max="2" width="11.42578125" customWidth="1"/>
    <col min="18" max="18" width="9.140625" customWidth="1"/>
  </cols>
  <sheetData>
    <row r="1" spans="1:26" s="90" customFormat="1" ht="15.75" x14ac:dyDescent="0.25">
      <c r="A1" s="126" t="s">
        <v>41</v>
      </c>
      <c r="B1" s="126"/>
      <c r="C1" s="126"/>
      <c r="D1" s="126"/>
      <c r="W1" s="125" t="s">
        <v>62</v>
      </c>
      <c r="X1" s="125"/>
      <c r="Y1" s="125"/>
      <c r="Z1" s="125"/>
    </row>
    <row r="2" spans="1:26" x14ac:dyDescent="0.25">
      <c r="W2" s="125"/>
      <c r="X2" s="125"/>
      <c r="Y2" s="125"/>
      <c r="Z2" s="125"/>
    </row>
    <row r="3" spans="1:26" x14ac:dyDescent="0.25">
      <c r="A3" s="128" t="s">
        <v>42</v>
      </c>
      <c r="B3" s="129"/>
      <c r="C3" s="129"/>
      <c r="D3" s="130"/>
      <c r="W3" s="125"/>
      <c r="X3" s="125"/>
      <c r="Y3" s="125"/>
      <c r="Z3" s="125"/>
    </row>
    <row r="4" spans="1:26" x14ac:dyDescent="0.25">
      <c r="A4" s="115" t="s">
        <v>43</v>
      </c>
      <c r="B4" s="116"/>
      <c r="C4" s="116" t="s">
        <v>44</v>
      </c>
      <c r="D4" s="127"/>
      <c r="W4" s="125"/>
      <c r="X4" s="125"/>
      <c r="Y4" s="125"/>
      <c r="Z4" s="125"/>
    </row>
    <row r="5" spans="1:26" x14ac:dyDescent="0.25">
      <c r="A5" s="131" t="str">
        <f>ROUND(AVERAGE('Portfolio History'!G:G),2)&amp;"Std lots"</f>
        <v>0.2Std lots</v>
      </c>
      <c r="B5" s="132"/>
      <c r="C5" s="133" t="str">
        <f>ROUND(AVERAGE('Portfolio History'!H:H),2)&amp;"Std lots"</f>
        <v>0.3Std lots</v>
      </c>
      <c r="D5" s="134"/>
      <c r="W5" s="125"/>
      <c r="X5" s="125"/>
      <c r="Y5" s="125"/>
      <c r="Z5" s="125"/>
    </row>
    <row r="6" spans="1:26" x14ac:dyDescent="0.25">
      <c r="W6" s="125"/>
      <c r="X6" s="125"/>
      <c r="Y6" s="125"/>
      <c r="Z6" s="125"/>
    </row>
    <row r="7" spans="1:26" x14ac:dyDescent="0.25">
      <c r="A7" s="128" t="s">
        <v>45</v>
      </c>
      <c r="B7" s="129"/>
      <c r="C7" s="129"/>
      <c r="D7" s="130"/>
      <c r="W7" s="125"/>
      <c r="X7" s="125"/>
      <c r="Y7" s="125"/>
      <c r="Z7" s="125"/>
    </row>
    <row r="8" spans="1:26" x14ac:dyDescent="0.25">
      <c r="A8" s="115" t="s">
        <v>46</v>
      </c>
      <c r="B8" s="116"/>
      <c r="C8" s="116" t="s">
        <v>47</v>
      </c>
      <c r="D8" s="127"/>
      <c r="W8" s="125"/>
      <c r="X8" s="125"/>
      <c r="Y8" s="125"/>
      <c r="Z8" s="125"/>
    </row>
    <row r="9" spans="1:26" x14ac:dyDescent="0.25">
      <c r="A9" s="138">
        <f>AVERAGE('Portfolio History'!P:P)</f>
        <v>3.919365333333342E-3</v>
      </c>
      <c r="B9" s="139"/>
      <c r="C9" s="140">
        <f>AVERAGE('Portfolio History'!R:R)</f>
        <v>4.2305841924398466</v>
      </c>
      <c r="D9" s="141"/>
      <c r="W9" s="125"/>
      <c r="X9" s="125"/>
      <c r="Y9" s="125"/>
      <c r="Z9" s="125"/>
    </row>
    <row r="10" spans="1:26" x14ac:dyDescent="0.25">
      <c r="A10" s="84"/>
      <c r="B10" s="85"/>
      <c r="C10" s="85"/>
      <c r="D10" s="86"/>
      <c r="W10" s="125"/>
      <c r="X10" s="125"/>
      <c r="Y10" s="125"/>
      <c r="Z10" s="125"/>
    </row>
    <row r="11" spans="1:26" x14ac:dyDescent="0.25">
      <c r="A11" s="87" t="s">
        <v>48</v>
      </c>
      <c r="B11" s="88"/>
      <c r="C11" s="88"/>
      <c r="D11" s="89"/>
      <c r="W11" s="125"/>
      <c r="X11" s="125"/>
      <c r="Y11" s="125"/>
      <c r="Z11" s="125"/>
    </row>
    <row r="12" spans="1:26" x14ac:dyDescent="0.25">
      <c r="A12" s="135">
        <f>AVERAGE('Portfolio History'!L:L)</f>
        <v>0.86487880350631652</v>
      </c>
      <c r="B12" s="136"/>
      <c r="C12" s="136"/>
      <c r="D12" s="137"/>
      <c r="W12" s="125"/>
      <c r="X12" s="125"/>
      <c r="Y12" s="125"/>
      <c r="Z12" s="125"/>
    </row>
    <row r="13" spans="1:26" x14ac:dyDescent="0.25">
      <c r="W13" s="125"/>
      <c r="X13" s="125"/>
      <c r="Y13" s="125"/>
      <c r="Z13" s="125"/>
    </row>
    <row r="14" spans="1:26" x14ac:dyDescent="0.25">
      <c r="A14" s="128" t="s">
        <v>49</v>
      </c>
      <c r="B14" s="129"/>
      <c r="C14" s="129"/>
      <c r="D14" s="130"/>
      <c r="W14" s="125"/>
      <c r="X14" s="125"/>
      <c r="Y14" s="125"/>
      <c r="Z14" s="125"/>
    </row>
    <row r="15" spans="1:26" x14ac:dyDescent="0.25">
      <c r="A15" s="115" t="s">
        <v>50</v>
      </c>
      <c r="B15" s="116"/>
      <c r="C15" s="116" t="s">
        <v>51</v>
      </c>
      <c r="D15" s="127"/>
      <c r="W15" s="125"/>
      <c r="X15" s="125"/>
      <c r="Y15" s="125"/>
      <c r="Z15" s="125"/>
    </row>
    <row r="16" spans="1:26" x14ac:dyDescent="0.25">
      <c r="A16" s="138">
        <f>AVERAGE('Portfolio History'!X:X)</f>
        <v>6.779551999994954E-3</v>
      </c>
      <c r="B16" s="139"/>
      <c r="C16" s="144">
        <f>AVERAGE('Portfolio History'!V:V)</f>
        <v>338.97759999974767</v>
      </c>
      <c r="D16" s="145"/>
      <c r="W16" s="125" t="s">
        <v>61</v>
      </c>
      <c r="X16" s="125"/>
      <c r="Y16" s="125"/>
      <c r="Z16" s="125"/>
    </row>
    <row r="17" spans="1:40" x14ac:dyDescent="0.25">
      <c r="A17" s="84"/>
      <c r="B17" s="85"/>
      <c r="C17" s="85"/>
      <c r="D17" s="86"/>
      <c r="W17" s="125"/>
      <c r="X17" s="125"/>
      <c r="Y17" s="125"/>
      <c r="Z17" s="125"/>
    </row>
    <row r="18" spans="1:40" x14ac:dyDescent="0.25">
      <c r="A18" s="115" t="s">
        <v>52</v>
      </c>
      <c r="B18" s="116"/>
      <c r="C18" s="116" t="s">
        <v>53</v>
      </c>
      <c r="D18" s="127"/>
      <c r="W18" s="125"/>
      <c r="X18" s="125"/>
      <c r="Y18" s="125"/>
      <c r="Z18" s="125"/>
    </row>
    <row r="19" spans="1:40" x14ac:dyDescent="0.25">
      <c r="A19" s="138"/>
      <c r="B19" s="139"/>
      <c r="C19" s="139"/>
      <c r="D19" s="142"/>
      <c r="W19" s="125"/>
      <c r="X19" s="125"/>
      <c r="Y19" s="125"/>
      <c r="Z19" s="125"/>
    </row>
    <row r="20" spans="1:40" x14ac:dyDescent="0.25">
      <c r="A20" s="116" t="s">
        <v>60</v>
      </c>
      <c r="B20" s="116"/>
      <c r="C20" s="116"/>
      <c r="D20" s="127"/>
      <c r="W20" s="125"/>
      <c r="X20" s="125"/>
      <c r="Y20" s="125"/>
      <c r="Z20" s="125"/>
    </row>
    <row r="21" spans="1:40" x14ac:dyDescent="0.25">
      <c r="A21" s="136">
        <f>AVERAGE('Portfolio History'!AA:AA)</f>
        <v>0.28658296552532997</v>
      </c>
      <c r="B21" s="136"/>
      <c r="C21" s="136"/>
      <c r="D21" s="137"/>
      <c r="W21" s="125"/>
      <c r="X21" s="125"/>
      <c r="Y21" s="125"/>
      <c r="Z21" s="125"/>
    </row>
    <row r="22" spans="1:40" x14ac:dyDescent="0.25">
      <c r="W22" s="125"/>
      <c r="X22" s="125"/>
      <c r="Y22" s="125"/>
      <c r="Z22" s="125"/>
    </row>
    <row r="23" spans="1:40" x14ac:dyDescent="0.25">
      <c r="W23" s="125"/>
      <c r="X23" s="125"/>
      <c r="Y23" s="125"/>
      <c r="Z23" s="125"/>
    </row>
    <row r="24" spans="1:40" x14ac:dyDescent="0.25">
      <c r="W24" s="125"/>
      <c r="X24" s="125"/>
      <c r="Y24" s="125"/>
      <c r="Z24" s="125"/>
    </row>
    <row r="25" spans="1:40" x14ac:dyDescent="0.25">
      <c r="W25" s="125"/>
      <c r="X25" s="125"/>
      <c r="Y25" s="125"/>
      <c r="Z25" s="125"/>
    </row>
    <row r="26" spans="1:40" x14ac:dyDescent="0.25">
      <c r="W26" s="125"/>
      <c r="X26" s="125"/>
      <c r="Y26" s="125"/>
      <c r="Z26" s="125"/>
    </row>
    <row r="27" spans="1:40" x14ac:dyDescent="0.25">
      <c r="W27" s="125"/>
      <c r="X27" s="125"/>
      <c r="Y27" s="125"/>
      <c r="Z27" s="125"/>
    </row>
    <row r="28" spans="1:40" x14ac:dyDescent="0.25">
      <c r="W28" s="125"/>
      <c r="X28" s="125"/>
      <c r="Y28" s="125"/>
      <c r="Z28" s="125"/>
    </row>
    <row r="29" spans="1:40" x14ac:dyDescent="0.25">
      <c r="W29" s="125"/>
      <c r="X29" s="125"/>
      <c r="Y29" s="125"/>
      <c r="Z29" s="125"/>
    </row>
    <row r="30" spans="1:40" x14ac:dyDescent="0.25">
      <c r="W30" s="125"/>
      <c r="X30" s="125"/>
      <c r="Y30" s="125"/>
      <c r="Z30" s="125"/>
    </row>
    <row r="31" spans="1:40" x14ac:dyDescent="0.25">
      <c r="AK31" s="146" t="s">
        <v>67</v>
      </c>
      <c r="AL31" s="146"/>
      <c r="AM31" s="146"/>
      <c r="AN31" s="146"/>
    </row>
    <row r="32" spans="1:40" x14ac:dyDescent="0.25">
      <c r="E32" s="125" t="s">
        <v>63</v>
      </c>
      <c r="F32" s="125"/>
      <c r="G32" s="125"/>
      <c r="H32" s="125"/>
      <c r="AK32" s="146"/>
      <c r="AL32" s="146"/>
      <c r="AM32" s="146"/>
      <c r="AN32" s="146"/>
    </row>
    <row r="33" spans="5:40" x14ac:dyDescent="0.25">
      <c r="E33" s="125"/>
      <c r="F33" s="125"/>
      <c r="G33" s="125"/>
      <c r="H33" s="125"/>
      <c r="AK33" s="146"/>
      <c r="AL33" s="146"/>
      <c r="AM33" s="146"/>
      <c r="AN33" s="146"/>
    </row>
    <row r="34" spans="5:40" x14ac:dyDescent="0.25">
      <c r="E34" s="125"/>
      <c r="F34" s="125"/>
      <c r="G34" s="125"/>
      <c r="H34" s="125"/>
      <c r="AK34" s="146"/>
      <c r="AL34" s="146"/>
      <c r="AM34" s="146"/>
      <c r="AN34" s="146"/>
    </row>
    <row r="35" spans="5:40" x14ac:dyDescent="0.25">
      <c r="E35" s="125"/>
      <c r="F35" s="125"/>
      <c r="G35" s="125"/>
      <c r="H35" s="125"/>
      <c r="AK35" s="146"/>
      <c r="AL35" s="146"/>
      <c r="AM35" s="146"/>
      <c r="AN35" s="146"/>
    </row>
    <row r="36" spans="5:40" x14ac:dyDescent="0.25">
      <c r="E36" s="125"/>
      <c r="F36" s="125"/>
      <c r="G36" s="125"/>
      <c r="H36" s="125"/>
      <c r="AK36" s="146"/>
      <c r="AL36" s="146"/>
      <c r="AM36" s="146"/>
      <c r="AN36" s="146"/>
    </row>
    <row r="37" spans="5:40" x14ac:dyDescent="0.25">
      <c r="E37" s="125"/>
      <c r="F37" s="125"/>
      <c r="G37" s="125"/>
      <c r="H37" s="125"/>
      <c r="AK37" s="146"/>
      <c r="AL37" s="146"/>
      <c r="AM37" s="146"/>
      <c r="AN37" s="146"/>
    </row>
    <row r="38" spans="5:40" x14ac:dyDescent="0.25">
      <c r="E38" s="125"/>
      <c r="F38" s="125"/>
      <c r="G38" s="125"/>
      <c r="H38" s="125"/>
      <c r="AK38" s="146"/>
      <c r="AL38" s="146"/>
      <c r="AM38" s="146"/>
      <c r="AN38" s="146"/>
    </row>
    <row r="39" spans="5:40" x14ac:dyDescent="0.25">
      <c r="E39" s="125"/>
      <c r="F39" s="125"/>
      <c r="G39" s="125"/>
      <c r="H39" s="125"/>
      <c r="AK39" s="146"/>
      <c r="AL39" s="146"/>
      <c r="AM39" s="146"/>
      <c r="AN39" s="146"/>
    </row>
    <row r="40" spans="5:40" x14ac:dyDescent="0.25">
      <c r="E40" s="125"/>
      <c r="F40" s="125"/>
      <c r="G40" s="125"/>
      <c r="H40" s="125"/>
      <c r="AK40" s="146"/>
      <c r="AL40" s="146"/>
      <c r="AM40" s="146"/>
      <c r="AN40" s="146"/>
    </row>
    <row r="41" spans="5:40" x14ac:dyDescent="0.25">
      <c r="E41" s="125"/>
      <c r="F41" s="125"/>
      <c r="G41" s="125"/>
      <c r="H41" s="125"/>
      <c r="AK41" s="146"/>
      <c r="AL41" s="146"/>
      <c r="AM41" s="146"/>
      <c r="AN41" s="146"/>
    </row>
    <row r="42" spans="5:40" x14ac:dyDescent="0.25">
      <c r="E42" s="125"/>
      <c r="F42" s="125"/>
      <c r="G42" s="125"/>
      <c r="H42" s="125"/>
      <c r="AK42" s="146"/>
      <c r="AL42" s="146"/>
      <c r="AM42" s="146"/>
      <c r="AN42" s="146"/>
    </row>
    <row r="43" spans="5:40" x14ac:dyDescent="0.25">
      <c r="E43" s="125"/>
      <c r="F43" s="125"/>
      <c r="G43" s="125"/>
      <c r="H43" s="125"/>
      <c r="AK43" s="146"/>
      <c r="AL43" s="146"/>
      <c r="AM43" s="146"/>
      <c r="AN43" s="146"/>
    </row>
    <row r="44" spans="5:40" x14ac:dyDescent="0.25">
      <c r="E44" s="125"/>
      <c r="F44" s="125"/>
      <c r="G44" s="125"/>
      <c r="H44" s="125"/>
      <c r="AK44" s="146"/>
      <c r="AL44" s="146"/>
      <c r="AM44" s="146"/>
      <c r="AN44" s="146"/>
    </row>
    <row r="45" spans="5:40" x14ac:dyDescent="0.25">
      <c r="E45" s="125"/>
      <c r="F45" s="125"/>
      <c r="G45" s="125"/>
      <c r="H45" s="125"/>
      <c r="AK45" s="146"/>
      <c r="AL45" s="146"/>
      <c r="AM45" s="146"/>
      <c r="AN45" s="146"/>
    </row>
    <row r="46" spans="5:40" x14ac:dyDescent="0.25">
      <c r="E46" s="125"/>
      <c r="F46" s="125"/>
      <c r="G46" s="125"/>
      <c r="H46" s="125"/>
      <c r="AK46" s="146"/>
      <c r="AL46" s="146"/>
      <c r="AM46" s="146"/>
      <c r="AN46" s="146"/>
    </row>
    <row r="47" spans="5:40" ht="15" customHeight="1" x14ac:dyDescent="0.25">
      <c r="E47" s="125" t="s">
        <v>65</v>
      </c>
      <c r="F47" s="125"/>
      <c r="G47" s="125"/>
      <c r="H47" s="125"/>
      <c r="AK47" s="125" t="s">
        <v>64</v>
      </c>
      <c r="AL47" s="125"/>
      <c r="AM47" s="125"/>
      <c r="AN47" s="125"/>
    </row>
    <row r="48" spans="5:40" x14ac:dyDescent="0.25">
      <c r="E48" s="125"/>
      <c r="F48" s="125"/>
      <c r="G48" s="125"/>
      <c r="H48" s="125"/>
      <c r="AK48" s="125"/>
      <c r="AL48" s="125"/>
      <c r="AM48" s="125"/>
      <c r="AN48" s="125"/>
    </row>
    <row r="49" spans="5:40" x14ac:dyDescent="0.25">
      <c r="E49" s="125"/>
      <c r="F49" s="125"/>
      <c r="G49" s="125"/>
      <c r="H49" s="125"/>
      <c r="AK49" s="125"/>
      <c r="AL49" s="125"/>
      <c r="AM49" s="125"/>
      <c r="AN49" s="125"/>
    </row>
    <row r="50" spans="5:40" x14ac:dyDescent="0.25">
      <c r="E50" s="125"/>
      <c r="F50" s="125"/>
      <c r="G50" s="125"/>
      <c r="H50" s="125"/>
      <c r="AK50" s="125"/>
      <c r="AL50" s="125"/>
      <c r="AM50" s="125"/>
      <c r="AN50" s="125"/>
    </row>
    <row r="51" spans="5:40" x14ac:dyDescent="0.25">
      <c r="E51" s="125"/>
      <c r="F51" s="125"/>
      <c r="G51" s="125"/>
      <c r="H51" s="125"/>
      <c r="AK51" s="125"/>
      <c r="AL51" s="125"/>
      <c r="AM51" s="125"/>
      <c r="AN51" s="125"/>
    </row>
    <row r="52" spans="5:40" x14ac:dyDescent="0.25">
      <c r="E52" s="125"/>
      <c r="F52" s="125"/>
      <c r="G52" s="125"/>
      <c r="H52" s="125"/>
      <c r="AK52" s="125"/>
      <c r="AL52" s="125"/>
      <c r="AM52" s="125"/>
      <c r="AN52" s="125"/>
    </row>
    <row r="53" spans="5:40" x14ac:dyDescent="0.25">
      <c r="E53" s="125"/>
      <c r="F53" s="125"/>
      <c r="G53" s="125"/>
      <c r="H53" s="125"/>
      <c r="AK53" s="125"/>
      <c r="AL53" s="125"/>
      <c r="AM53" s="125"/>
      <c r="AN53" s="125"/>
    </row>
    <row r="54" spans="5:40" x14ac:dyDescent="0.25">
      <c r="E54" s="125"/>
      <c r="F54" s="125"/>
      <c r="G54" s="125"/>
      <c r="H54" s="125"/>
      <c r="AK54" s="125"/>
      <c r="AL54" s="125"/>
      <c r="AM54" s="125"/>
      <c r="AN54" s="125"/>
    </row>
    <row r="55" spans="5:40" x14ac:dyDescent="0.25">
      <c r="E55" s="125"/>
      <c r="F55" s="125"/>
      <c r="G55" s="125"/>
      <c r="H55" s="125"/>
      <c r="AK55" s="125"/>
      <c r="AL55" s="125"/>
      <c r="AM55" s="125"/>
      <c r="AN55" s="125"/>
    </row>
    <row r="56" spans="5:40" x14ac:dyDescent="0.25">
      <c r="E56" s="125"/>
      <c r="F56" s="125"/>
      <c r="G56" s="125"/>
      <c r="H56" s="125"/>
      <c r="AK56" s="125"/>
      <c r="AL56" s="125"/>
      <c r="AM56" s="125"/>
      <c r="AN56" s="125"/>
    </row>
    <row r="57" spans="5:40" x14ac:dyDescent="0.25">
      <c r="E57" s="125"/>
      <c r="F57" s="125"/>
      <c r="G57" s="125"/>
      <c r="H57" s="125"/>
      <c r="AK57" s="125"/>
      <c r="AL57" s="125"/>
      <c r="AM57" s="125"/>
      <c r="AN57" s="125"/>
    </row>
    <row r="58" spans="5:40" x14ac:dyDescent="0.25">
      <c r="E58" s="125"/>
      <c r="F58" s="125"/>
      <c r="G58" s="125"/>
      <c r="H58" s="125"/>
      <c r="AK58" s="125"/>
      <c r="AL58" s="125"/>
      <c r="AM58" s="125"/>
      <c r="AN58" s="125"/>
    </row>
    <row r="59" spans="5:40" x14ac:dyDescent="0.25">
      <c r="E59" s="125"/>
      <c r="F59" s="125"/>
      <c r="G59" s="125"/>
      <c r="H59" s="125"/>
      <c r="AK59" s="125"/>
      <c r="AL59" s="125"/>
      <c r="AM59" s="125"/>
      <c r="AN59" s="125"/>
    </row>
    <row r="60" spans="5:40" x14ac:dyDescent="0.25">
      <c r="E60" s="125"/>
      <c r="F60" s="125"/>
      <c r="G60" s="125"/>
      <c r="H60" s="125"/>
      <c r="AK60" s="125"/>
      <c r="AL60" s="125"/>
      <c r="AM60" s="125"/>
      <c r="AN60" s="125"/>
    </row>
  </sheetData>
  <mergeCells count="29">
    <mergeCell ref="E47:H60"/>
    <mergeCell ref="AK31:AN46"/>
    <mergeCell ref="A20:D20"/>
    <mergeCell ref="A21:D21"/>
    <mergeCell ref="A19:B19"/>
    <mergeCell ref="C19:D19"/>
    <mergeCell ref="A16:B16"/>
    <mergeCell ref="C16:D16"/>
    <mergeCell ref="A18:B18"/>
    <mergeCell ref="C18:D18"/>
    <mergeCell ref="A12:D12"/>
    <mergeCell ref="A14:D14"/>
    <mergeCell ref="A15:B15"/>
    <mergeCell ref="C15:D15"/>
    <mergeCell ref="A7:D7"/>
    <mergeCell ref="A8:B8"/>
    <mergeCell ref="C8:D8"/>
    <mergeCell ref="A9:B9"/>
    <mergeCell ref="C9:D9"/>
    <mergeCell ref="A1:D1"/>
    <mergeCell ref="A4:B4"/>
    <mergeCell ref="C4:D4"/>
    <mergeCell ref="A3:D3"/>
    <mergeCell ref="A5:B5"/>
    <mergeCell ref="C5:D5"/>
    <mergeCell ref="W1:Z15"/>
    <mergeCell ref="W16:Z30"/>
    <mergeCell ref="E32:H46"/>
    <mergeCell ref="AK47:AN60"/>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Portfolio History</vt:lpstr>
      <vt:lpstr>Portfolio Visualisation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weii</dc:creator>
  <cp:keywords/>
  <dc:description/>
  <cp:lastModifiedBy>weii</cp:lastModifiedBy>
  <cp:revision/>
  <dcterms:created xsi:type="dcterms:W3CDTF">2015-06-05T18:17:20Z</dcterms:created>
  <dcterms:modified xsi:type="dcterms:W3CDTF">2020-05-14T09:38:35Z</dcterms:modified>
  <cp:category/>
  <cp:contentStatus/>
</cp:coreProperties>
</file>