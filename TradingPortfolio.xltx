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/>
  <mc:AlternateContent xmlns:mc="http://schemas.openxmlformats.org/markup-compatibility/2006">
    <mc:Choice Requires="x15">
      <x15ac:absPath xmlns:x15ac="http://schemas.microsoft.com/office/spreadsheetml/2010/11/ac" url="C:\Users\f6run\Documents\Custom Office Templates\"/>
    </mc:Choice>
  </mc:AlternateContent>
  <xr:revisionPtr revIDLastSave="0" documentId="8_{E699B771-3736-4158-AC5D-348339BE51BF}" xr6:coauthVersionLast="45" xr6:coauthVersionMax="45" xr10:uidLastSave="{00000000-0000-0000-0000-000000000000}"/>
  <bookViews>
    <workbookView xWindow="1290" yWindow="-120" windowWidth="27630" windowHeight="16440" xr2:uid="{00000000-000D-0000-FFFF-FFFF00000000}"/>
  </bookViews>
  <sheets>
    <sheet name="Trade Histor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7" i="1" l="1"/>
  <c r="Z8" i="1"/>
  <c r="Z9" i="1"/>
  <c r="Z10" i="1"/>
  <c r="Z11" i="1"/>
  <c r="V8" i="1"/>
  <c r="X8" i="1" s="1"/>
  <c r="V9" i="1"/>
  <c r="X9" i="1" s="1"/>
  <c r="V10" i="1"/>
  <c r="X10" i="1" s="1"/>
  <c r="V11" i="1"/>
  <c r="X11" i="1" s="1"/>
  <c r="N8" i="1"/>
  <c r="P8" i="1" s="1"/>
  <c r="N9" i="1"/>
  <c r="N10" i="1"/>
  <c r="P10" i="1" s="1"/>
  <c r="N11" i="1"/>
  <c r="P11" i="1" s="1"/>
  <c r="N7" i="1"/>
  <c r="P7" i="1" s="1"/>
  <c r="E8" i="1"/>
  <c r="E9" i="1"/>
  <c r="E10" i="1"/>
  <c r="E11" i="1"/>
  <c r="E7" i="1"/>
  <c r="P9" i="1"/>
  <c r="H14" i="1"/>
  <c r="R8" i="1"/>
  <c r="R9" i="1"/>
  <c r="R10" i="1"/>
  <c r="R11" i="1"/>
  <c r="M8" i="1"/>
  <c r="M9" i="1"/>
  <c r="M10" i="1"/>
  <c r="M11" i="1"/>
  <c r="M7" i="1"/>
  <c r="R7" i="1"/>
  <c r="Z7" i="1" l="1"/>
  <c r="U14" i="1"/>
  <c r="W14" i="1" s="1"/>
  <c r="X7" i="1"/>
  <c r="S16" i="1"/>
  <c r="Q14" i="1"/>
  <c r="O14" i="1"/>
</calcChain>
</file>

<file path=xl/sharedStrings.xml><?xml version="1.0" encoding="utf-8"?>
<sst xmlns="http://schemas.openxmlformats.org/spreadsheetml/2006/main" count="51" uniqueCount="44">
  <si>
    <t>Date</t>
  </si>
  <si>
    <t>Asset</t>
  </si>
  <si>
    <t>Volume</t>
  </si>
  <si>
    <t>SL</t>
  </si>
  <si>
    <t>ENTRY</t>
  </si>
  <si>
    <t>TARGET</t>
  </si>
  <si>
    <t>Risk (GBP)</t>
  </si>
  <si>
    <t>Risk (%)</t>
  </si>
  <si>
    <t>RR</t>
  </si>
  <si>
    <t>Net P/L (GBP)</t>
  </si>
  <si>
    <t>Net P/L (%)</t>
  </si>
  <si>
    <t>Pip Value</t>
  </si>
  <si>
    <t>Server</t>
  </si>
  <si>
    <t>Login</t>
  </si>
  <si>
    <t>Password</t>
  </si>
  <si>
    <t>GBPUSD</t>
  </si>
  <si>
    <t>End of Week Equity</t>
  </si>
  <si>
    <t>Pip Multiplier</t>
  </si>
  <si>
    <t>SL (pips)</t>
  </si>
  <si>
    <t>Weekly Volume</t>
  </si>
  <si>
    <t>Max Portfolio Volatility</t>
  </si>
  <si>
    <t>GBP</t>
  </si>
  <si>
    <t>%</t>
  </si>
  <si>
    <t>Close Price</t>
  </si>
  <si>
    <t>Order Type</t>
  </si>
  <si>
    <t>Weekly P/L</t>
  </si>
  <si>
    <t>Pip Multiplier / 100</t>
  </si>
  <si>
    <t>placeholder</t>
  </si>
  <si>
    <t>Lots</t>
  </si>
  <si>
    <t>Null</t>
  </si>
  <si>
    <t>R</t>
  </si>
  <si>
    <t>= input cells</t>
  </si>
  <si>
    <t>TradingView #1</t>
  </si>
  <si>
    <t>TradingView #2</t>
  </si>
  <si>
    <t>TradingView #3</t>
  </si>
  <si>
    <t>Analysis</t>
  </si>
  <si>
    <t>https://www.tradingview.com/x/vS1JhN4X/</t>
  </si>
  <si>
    <t>Timeframe</t>
  </si>
  <si>
    <t>D1</t>
  </si>
  <si>
    <t>Commision/lot</t>
  </si>
  <si>
    <t>Reflection</t>
  </si>
  <si>
    <t>Worded Analysis</t>
  </si>
  <si>
    <t>Trade Reflection</t>
  </si>
  <si>
    <t>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</si>
</sst>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164" formatCode="dd\ mmm\ yy"/>
    <numFmt numFmtId="165" formatCode="0.0"/>
    <numFmt numFmtId="166" formatCode="0.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AB81FF"/>
        <bgColor indexed="64"/>
      </patternFill>
    </fill>
    <fill>
      <patternFill patternType="solid">
        <fgColor rgb="FFFF85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88">
    <xf numFmtId="0" fontId="0" fillId="0" borderId="0" xfId="0"/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/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1" xfId="0" applyFon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2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Alignment="1">
      <alignment horizontal="center"/>
    </xf>
    <xf numFmtId="44" fontId="2" fillId="3" borderId="0" xfId="1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44" fontId="0" fillId="0" borderId="0" xfId="0" applyNumberFormat="1" applyAlignment="1">
      <alignment horizontal="center"/>
    </xf>
    <xf numFmtId="164" fontId="0" fillId="0" borderId="0" xfId="0" applyNumberFormat="1" applyFont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44" fontId="0" fillId="0" borderId="4" xfId="1" applyFon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44" fontId="0" fillId="0" borderId="0" xfId="1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44" fontId="0" fillId="0" borderId="7" xfId="1" applyFont="1" applyBorder="1" applyAlignment="1">
      <alignment horizontal="center"/>
    </xf>
    <xf numFmtId="44" fontId="2" fillId="3" borderId="7" xfId="1" applyFont="1" applyFill="1" applyBorder="1" applyAlignment="1">
      <alignment horizontal="center"/>
    </xf>
    <xf numFmtId="44" fontId="0" fillId="4" borderId="0" xfId="0" applyNumberFormat="1" applyFill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" fillId="0" borderId="0" xfId="1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0" borderId="4" xfId="0" applyNumberFormat="1" applyBorder="1" applyAlignment="1">
      <alignment horizontal="center"/>
    </xf>
    <xf numFmtId="166" fontId="2" fillId="0" borderId="7" xfId="1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/>
    </xf>
    <xf numFmtId="166" fontId="2" fillId="0" borderId="0" xfId="0" applyNumberFormat="1" applyFont="1" applyFill="1" applyAlignment="1">
      <alignment horizontal="center"/>
    </xf>
    <xf numFmtId="166" fontId="2" fillId="0" borderId="0" xfId="0" applyNumberFormat="1" applyFon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166" fontId="0" fillId="0" borderId="0" xfId="0" applyNumberFormat="1" applyFill="1" applyAlignment="1">
      <alignment horizontal="center"/>
    </xf>
    <xf numFmtId="166" fontId="0" fillId="0" borderId="4" xfId="0" applyNumberFormat="1" applyFont="1" applyBorder="1" applyAlignment="1">
      <alignment horizontal="center"/>
    </xf>
    <xf numFmtId="166" fontId="2" fillId="0" borderId="4" xfId="0" applyNumberFormat="1" applyFont="1" applyFill="1" applyBorder="1" applyAlignment="1">
      <alignment horizontal="center"/>
    </xf>
    <xf numFmtId="44" fontId="0" fillId="0" borderId="0" xfId="1" applyFont="1" applyFill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44" fontId="0" fillId="0" borderId="0" xfId="1" applyFont="1" applyFill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left"/>
    </xf>
    <xf numFmtId="165" fontId="2" fillId="0" borderId="10" xfId="0" applyNumberFormat="1" applyFon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3" fillId="0" borderId="0" xfId="2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0" fillId="0" borderId="5" xfId="0" quotePrefix="1" applyFill="1" applyBorder="1" applyAlignment="1">
      <alignment horizontal="left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0" fontId="2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7" xfId="0" applyFont="1" applyBorder="1" applyAlignment="1">
      <alignment horizontal="right"/>
    </xf>
    <xf numFmtId="2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radingview.com/x/vS1JhN4X/" TargetMode="External"/><Relationship Id="rId2" Type="http://schemas.openxmlformats.org/officeDocument/2006/relationships/hyperlink" Target="https://www.tradingview.com/x/vS1JhN4X/" TargetMode="External"/><Relationship Id="rId1" Type="http://schemas.openxmlformats.org/officeDocument/2006/relationships/hyperlink" Target="https://www.tradingview.com/x/vS1JhN4X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16"/>
  <sheetViews>
    <sheetView showGridLines="0" tabSelected="1" zoomScale="70" zoomScaleNormal="70" workbookViewId="0">
      <selection activeCell="C7" sqref="C7"/>
    </sheetView>
  </sheetViews>
  <sheetFormatPr defaultRowHeight="15" x14ac:dyDescent="0.25"/>
  <cols>
    <col min="1" max="1" width="12.85546875" style="23" bestFit="1" customWidth="1"/>
    <col min="2" max="2" width="17.7109375" style="2" bestFit="1" customWidth="1"/>
    <col min="3" max="3" width="12.5703125" style="2" bestFit="1" customWidth="1"/>
    <col min="4" max="4" width="12.5703125" style="2" customWidth="1"/>
    <col min="5" max="5" width="14.28515625" style="2" bestFit="1" customWidth="1"/>
    <col min="6" max="6" width="12.42578125" style="2" bestFit="1" customWidth="1"/>
    <col min="7" max="7" width="12.42578125" style="15" bestFit="1" customWidth="1"/>
    <col min="8" max="8" width="16.42578125" style="2" bestFit="1" customWidth="1"/>
    <col min="9" max="9" width="22.5703125" style="52" bestFit="1" customWidth="1"/>
    <col min="10" max="10" width="9.5703125" style="52" bestFit="1" customWidth="1"/>
    <col min="11" max="11" width="11.140625" style="52" bestFit="1" customWidth="1"/>
    <col min="12" max="12" width="9.140625" style="2"/>
    <col min="13" max="13" width="11.7109375" style="1" customWidth="1"/>
    <col min="14" max="14" width="13.85546875" style="2" bestFit="1" customWidth="1"/>
    <col min="15" max="15" width="13.140625" style="2" bestFit="1" customWidth="1"/>
    <col min="16" max="16" width="10.7109375" style="17" bestFit="1" customWidth="1"/>
    <col min="17" max="17" width="9.28515625" style="2" bestFit="1" customWidth="1"/>
    <col min="18" max="18" width="5" style="2" customWidth="1"/>
    <col min="19" max="19" width="17.28515625" style="2" bestFit="1" customWidth="1"/>
    <col min="20" max="20" width="14.5703125" style="52" customWidth="1"/>
    <col min="21" max="21" width="14" style="57" bestFit="1" customWidth="1"/>
    <col min="22" max="22" width="20.140625" style="19" bestFit="1" customWidth="1"/>
    <col min="23" max="23" width="8.28515625" style="17" bestFit="1" customWidth="1"/>
    <col min="24" max="24" width="14.42578125" style="35" bestFit="1" customWidth="1"/>
    <col min="25" max="25" width="14.42578125" style="35" customWidth="1"/>
    <col min="26" max="26" width="5.42578125" style="68" bestFit="1" customWidth="1"/>
    <col min="27" max="28" width="41.7109375" style="2" bestFit="1" customWidth="1"/>
    <col min="29" max="29" width="41.7109375" style="2" customWidth="1"/>
    <col min="30" max="30" width="9.140625" style="2"/>
    <col min="31" max="31" width="13.42578125" style="2" bestFit="1" customWidth="1"/>
    <col min="32" max="32" width="17.140625" style="2" bestFit="1" customWidth="1"/>
    <col min="33" max="33" width="9.140625" style="2"/>
    <col min="34" max="34" width="17.140625" style="2" bestFit="1" customWidth="1"/>
    <col min="35" max="35" width="9.140625" style="83"/>
    <col min="36" max="16384" width="9.140625" style="2"/>
  </cols>
  <sheetData>
    <row r="1" spans="1:35" s="4" customFormat="1" x14ac:dyDescent="0.25">
      <c r="A1" s="8" t="s">
        <v>0</v>
      </c>
      <c r="C1" s="4" t="s">
        <v>1</v>
      </c>
      <c r="E1" s="4" t="s">
        <v>24</v>
      </c>
      <c r="G1" s="9" t="s">
        <v>2</v>
      </c>
      <c r="I1" s="45" t="s">
        <v>3</v>
      </c>
      <c r="J1" s="45" t="s">
        <v>4</v>
      </c>
      <c r="K1" s="45" t="s">
        <v>5</v>
      </c>
      <c r="M1" s="10" t="s">
        <v>18</v>
      </c>
      <c r="N1" s="4" t="s">
        <v>6</v>
      </c>
      <c r="P1" s="11" t="s">
        <v>7</v>
      </c>
      <c r="R1" s="4" t="s">
        <v>8</v>
      </c>
      <c r="T1" s="45" t="s">
        <v>23</v>
      </c>
      <c r="U1" s="54"/>
      <c r="V1" s="12" t="s">
        <v>9</v>
      </c>
      <c r="W1" s="11"/>
      <c r="X1" s="65" t="s">
        <v>10</v>
      </c>
      <c r="Y1" s="65"/>
      <c r="Z1" s="67" t="s">
        <v>30</v>
      </c>
      <c r="AA1" s="4" t="s">
        <v>32</v>
      </c>
      <c r="AB1" s="4" t="s">
        <v>33</v>
      </c>
      <c r="AC1" s="4" t="s">
        <v>34</v>
      </c>
      <c r="AE1" s="4" t="s">
        <v>37</v>
      </c>
      <c r="AF1" s="4" t="s">
        <v>35</v>
      </c>
      <c r="AH1" s="4" t="s">
        <v>40</v>
      </c>
      <c r="AI1" s="82"/>
    </row>
    <row r="3" spans="1:35" x14ac:dyDescent="0.25">
      <c r="A3" s="13" t="s">
        <v>11</v>
      </c>
      <c r="B3" s="18" t="s">
        <v>39</v>
      </c>
      <c r="C3" s="73" t="s">
        <v>12</v>
      </c>
      <c r="D3" s="74" t="s">
        <v>13</v>
      </c>
      <c r="E3" s="75" t="s">
        <v>14</v>
      </c>
      <c r="F3" s="72"/>
      <c r="G3" s="76" t="s">
        <v>31</v>
      </c>
      <c r="H3" s="16" t="s">
        <v>17</v>
      </c>
      <c r="I3" s="63" t="s">
        <v>26</v>
      </c>
      <c r="S3" s="18" t="s">
        <v>29</v>
      </c>
      <c r="T3" s="46"/>
      <c r="U3" s="55"/>
    </row>
    <row r="4" spans="1:35" x14ac:dyDescent="0.25">
      <c r="A4" s="20">
        <v>7.0000000000000007E-2</v>
      </c>
      <c r="B4" s="20">
        <v>7</v>
      </c>
      <c r="C4" s="77" t="s">
        <v>27</v>
      </c>
      <c r="D4" s="78" t="s">
        <v>27</v>
      </c>
      <c r="E4" s="79" t="s">
        <v>27</v>
      </c>
      <c r="F4" s="78"/>
      <c r="G4" s="79"/>
      <c r="H4" s="22">
        <v>10000</v>
      </c>
      <c r="I4" s="64">
        <v>100</v>
      </c>
      <c r="S4" s="22"/>
      <c r="T4" s="47"/>
      <c r="U4" s="56"/>
    </row>
    <row r="6" spans="1:35" x14ac:dyDescent="0.25">
      <c r="O6" s="3"/>
      <c r="P6" s="87" t="s">
        <v>16</v>
      </c>
      <c r="Q6" s="87"/>
      <c r="R6" s="87"/>
      <c r="S6" s="24">
        <v>50000</v>
      </c>
      <c r="T6" s="48"/>
      <c r="U6" s="48"/>
    </row>
    <row r="7" spans="1:35" x14ac:dyDescent="0.25">
      <c r="A7" s="8">
        <v>43962</v>
      </c>
      <c r="B7" s="2" t="s">
        <v>43</v>
      </c>
      <c r="C7" s="2" t="s">
        <v>15</v>
      </c>
      <c r="E7" s="2" t="str">
        <f>IF(K7&gt;J7,"Buy",IF(K7&lt;J7,"Sell",""))</f>
        <v>Buy</v>
      </c>
      <c r="G7" s="25">
        <v>1</v>
      </c>
      <c r="I7" s="49">
        <v>0.9</v>
      </c>
      <c r="J7" s="49">
        <v>1</v>
      </c>
      <c r="K7" s="49">
        <v>1.2</v>
      </c>
      <c r="M7" s="1">
        <f>IF(I7=0,"",ABS(J7-I7)*$H$4)</f>
        <v>999.99999999999977</v>
      </c>
      <c r="N7" s="26">
        <f>IF(I7=0,"",((G7*100)*$A$4)*(ABS(J7-I7)*$H$4))</f>
        <v>6999.9999999999991</v>
      </c>
      <c r="P7" s="17">
        <f>IF(N7="","",N7/$S$6)</f>
        <v>0.13999999999999999</v>
      </c>
      <c r="R7" s="1">
        <f>IF(K7=0,"",ABS(J7-K7)/ABS(J7-I7))</f>
        <v>2</v>
      </c>
      <c r="S7" s="1"/>
      <c r="T7" s="49">
        <v>1.18</v>
      </c>
      <c r="V7" s="62">
        <f>IF(T7=$S$4,"",(ABS(T7-J7)*((G7*$I$4)*$A$4)*$H$4)-G7*B4)</f>
        <v>12592.999999999998</v>
      </c>
      <c r="X7" s="35">
        <f>IF(V7=$S$4,"",V7/$S$6)</f>
        <v>0.25185999999999997</v>
      </c>
      <c r="Z7" s="68" t="str">
        <f>IF(T7=$S$4,"",ROUND((V7/N7),2)&amp;"R")</f>
        <v>1.8R</v>
      </c>
    </row>
    <row r="8" spans="1:35" x14ac:dyDescent="0.25">
      <c r="A8" s="27">
        <v>43963</v>
      </c>
      <c r="E8" s="2" t="str">
        <f t="shared" ref="E8:E11" si="0">IF(K8&gt;J8,"Buy",IF(K8&lt;J8,"Sell",""))</f>
        <v/>
      </c>
      <c r="G8" s="25"/>
      <c r="I8" s="49"/>
      <c r="J8" s="49"/>
      <c r="K8" s="49"/>
      <c r="M8" s="1" t="str">
        <f t="shared" ref="M8:M11" si="1">IF(I8=0,"",ABS(J8-I8)*$H$4)</f>
        <v/>
      </c>
      <c r="N8" s="26" t="str">
        <f>IF(I8=0,"",((G8*100)*$A$4)*(ABS(J8-I8)*$H$4))</f>
        <v/>
      </c>
      <c r="P8" s="17" t="str">
        <f>IF(N8="","",N8/$S$6)</f>
        <v/>
      </c>
      <c r="R8" s="1" t="str">
        <f t="shared" ref="R8:R11" si="2">IF(K8=0,"",ABS(J8-K8)/ABS(J8-I8))</f>
        <v/>
      </c>
      <c r="T8" s="49"/>
      <c r="V8" s="62" t="str">
        <f>IF(T8=$S$4,"",ABS(T8-J8)*((G8*$I$4)*$A$4)*$H$4)</f>
        <v/>
      </c>
      <c r="X8" s="35" t="str">
        <f t="shared" ref="X8:X11" si="3">IF(V8=$S$4,"",V8/$S$6)</f>
        <v/>
      </c>
      <c r="Z8" s="68" t="str">
        <f t="shared" ref="Z8:Z11" si="4">IF(T8=$S$4,"",ROUND((V8/N8),2)&amp;"R")</f>
        <v/>
      </c>
    </row>
    <row r="9" spans="1:35" x14ac:dyDescent="0.25">
      <c r="A9" s="27">
        <v>43964</v>
      </c>
      <c r="E9" s="2" t="str">
        <f t="shared" si="0"/>
        <v/>
      </c>
      <c r="G9" s="25"/>
      <c r="I9" s="49"/>
      <c r="J9" s="49"/>
      <c r="K9" s="49"/>
      <c r="M9" s="1" t="str">
        <f t="shared" si="1"/>
        <v/>
      </c>
      <c r="N9" s="26" t="str">
        <f>IF(I9=0,"",((G9*100)*$A$4)*(ABS(J9-I9)*$H$4))</f>
        <v/>
      </c>
      <c r="P9" s="17" t="str">
        <f>IF(N9="","",N9/$S$6)</f>
        <v/>
      </c>
      <c r="R9" s="1" t="str">
        <f t="shared" si="2"/>
        <v/>
      </c>
      <c r="T9" s="49"/>
      <c r="V9" s="62" t="str">
        <f>IF(T9=$S$4,"",ABS(T9-J9)*((G9*$I$4)*$A$4)*$H$4)</f>
        <v/>
      </c>
      <c r="X9" s="35" t="str">
        <f t="shared" si="3"/>
        <v/>
      </c>
      <c r="Z9" s="68" t="str">
        <f t="shared" si="4"/>
        <v/>
      </c>
    </row>
    <row r="10" spans="1:35" x14ac:dyDescent="0.25">
      <c r="A10" s="27">
        <v>43965</v>
      </c>
      <c r="E10" s="2" t="str">
        <f t="shared" si="0"/>
        <v/>
      </c>
      <c r="G10" s="25"/>
      <c r="I10" s="49"/>
      <c r="J10" s="49"/>
      <c r="K10" s="49"/>
      <c r="M10" s="1" t="str">
        <f t="shared" si="1"/>
        <v/>
      </c>
      <c r="N10" s="26" t="str">
        <f>IF(I10=0,"",((G10*100)*$A$4)*(ABS(J10-I10)*$H$4))</f>
        <v/>
      </c>
      <c r="P10" s="17" t="str">
        <f>IF(N10="","",N10/$S$6)</f>
        <v/>
      </c>
      <c r="R10" s="1" t="str">
        <f t="shared" si="2"/>
        <v/>
      </c>
      <c r="T10" s="49"/>
      <c r="V10" s="62" t="str">
        <f>IF(T10=$S$4,"",ABS(T10-J10)*((G10*$I$4)*$A$4)*$H$4)</f>
        <v/>
      </c>
      <c r="X10" s="35" t="str">
        <f t="shared" si="3"/>
        <v/>
      </c>
      <c r="Z10" s="68" t="str">
        <f t="shared" si="4"/>
        <v/>
      </c>
    </row>
    <row r="11" spans="1:35" x14ac:dyDescent="0.25">
      <c r="A11" s="27">
        <v>43966</v>
      </c>
      <c r="E11" s="2" t="str">
        <f t="shared" si="0"/>
        <v/>
      </c>
      <c r="G11" s="25"/>
      <c r="I11" s="49"/>
      <c r="J11" s="49"/>
      <c r="K11" s="49"/>
      <c r="M11" s="1" t="str">
        <f t="shared" si="1"/>
        <v/>
      </c>
      <c r="N11" s="26" t="str">
        <f>IF(I11=0,"",((G11*100)*$A$4)*(ABS(J11-I11)*$H$4))</f>
        <v/>
      </c>
      <c r="P11" s="17" t="str">
        <f>IF(N11="","",N11/$S$6)</f>
        <v/>
      </c>
      <c r="R11" s="1" t="str">
        <f t="shared" si="2"/>
        <v/>
      </c>
      <c r="T11" s="49"/>
      <c r="V11" s="62" t="str">
        <f>IF(T11=$S$4,"",ABS(T11-J11)*((G11*$I$4)*$A$4)*$H$4)</f>
        <v/>
      </c>
      <c r="X11" s="35" t="str">
        <f t="shared" si="3"/>
        <v/>
      </c>
      <c r="Z11" s="68" t="str">
        <f t="shared" si="4"/>
        <v/>
      </c>
    </row>
    <row r="13" spans="1:35" x14ac:dyDescent="0.25">
      <c r="A13" s="28">
        <v>43968</v>
      </c>
      <c r="B13" s="29"/>
      <c r="C13" s="29"/>
      <c r="D13" s="29"/>
      <c r="E13" s="29"/>
      <c r="F13" s="29"/>
      <c r="G13" s="30"/>
      <c r="H13" s="29"/>
      <c r="I13" s="50"/>
      <c r="J13" s="50"/>
      <c r="K13" s="50"/>
      <c r="L13" s="29"/>
      <c r="M13" s="31"/>
      <c r="N13" s="29"/>
      <c r="O13" s="14" t="s">
        <v>21</v>
      </c>
      <c r="P13" s="32"/>
      <c r="Q13" s="14" t="s">
        <v>22</v>
      </c>
      <c r="R13" s="29"/>
      <c r="S13" s="29"/>
      <c r="T13" s="58"/>
      <c r="U13" s="59" t="s">
        <v>21</v>
      </c>
      <c r="V13" s="33"/>
      <c r="W13" s="61" t="s">
        <v>22</v>
      </c>
      <c r="X13" s="32"/>
      <c r="Y13" s="32"/>
      <c r="Z13" s="69"/>
      <c r="AA13" s="71" t="s">
        <v>36</v>
      </c>
      <c r="AB13" s="71" t="s">
        <v>36</v>
      </c>
      <c r="AC13" s="71" t="s">
        <v>36</v>
      </c>
      <c r="AE13" s="2" t="s">
        <v>38</v>
      </c>
      <c r="AF13" s="80" t="s">
        <v>41</v>
      </c>
      <c r="AH13" s="81" t="s">
        <v>42</v>
      </c>
    </row>
    <row r="14" spans="1:35" x14ac:dyDescent="0.25">
      <c r="A14" s="34"/>
      <c r="B14" s="5"/>
      <c r="C14" s="5"/>
      <c r="D14" s="5"/>
      <c r="E14" s="5"/>
      <c r="F14" s="85" t="s">
        <v>19</v>
      </c>
      <c r="G14" s="85"/>
      <c r="H14" s="6">
        <f>SUM(G7:G11)</f>
        <v>1</v>
      </c>
      <c r="I14" s="66" t="s">
        <v>28</v>
      </c>
      <c r="J14" s="47"/>
      <c r="K14" s="47"/>
      <c r="L14" s="86" t="s">
        <v>20</v>
      </c>
      <c r="M14" s="86"/>
      <c r="N14" s="86"/>
      <c r="O14" s="43">
        <f>-SUM(N7:N11)</f>
        <v>-6999.9999999999991</v>
      </c>
      <c r="P14" s="35"/>
      <c r="Q14" s="44">
        <f>-SUM(P7:P11)</f>
        <v>-0.13999999999999999</v>
      </c>
      <c r="R14" s="5"/>
      <c r="S14" s="5"/>
      <c r="T14" s="46" t="s">
        <v>25</v>
      </c>
      <c r="U14" s="60">
        <f>SUM(V7:V11)</f>
        <v>12592.999999999998</v>
      </c>
      <c r="V14" s="36"/>
      <c r="W14" s="35">
        <f>U14/S6</f>
        <v>0.25185999999999997</v>
      </c>
    </row>
    <row r="15" spans="1:35" x14ac:dyDescent="0.25">
      <c r="A15" s="34"/>
      <c r="B15" s="5"/>
      <c r="C15" s="5"/>
      <c r="D15" s="5"/>
      <c r="E15" s="5"/>
      <c r="F15" s="5"/>
      <c r="G15" s="6"/>
      <c r="H15" s="5"/>
      <c r="I15" s="47"/>
      <c r="J15" s="47"/>
      <c r="K15" s="47"/>
      <c r="L15" s="5"/>
      <c r="M15" s="7"/>
      <c r="N15" s="5"/>
      <c r="O15" s="5"/>
      <c r="P15" s="35"/>
      <c r="Q15" s="5"/>
      <c r="R15" s="5"/>
      <c r="S15" s="5"/>
      <c r="T15" s="47"/>
      <c r="U15" s="56"/>
      <c r="V15" s="36"/>
      <c r="W15" s="35"/>
    </row>
    <row r="16" spans="1:35" x14ac:dyDescent="0.25">
      <c r="A16" s="37"/>
      <c r="B16" s="21"/>
      <c r="C16" s="21"/>
      <c r="D16" s="21"/>
      <c r="E16" s="21"/>
      <c r="F16" s="21"/>
      <c r="G16" s="38"/>
      <c r="H16" s="21"/>
      <c r="I16" s="53"/>
      <c r="J16" s="53"/>
      <c r="K16" s="53"/>
      <c r="L16" s="21"/>
      <c r="M16" s="39"/>
      <c r="N16" s="21"/>
      <c r="O16" s="21"/>
      <c r="P16" s="84" t="s">
        <v>16</v>
      </c>
      <c r="Q16" s="84"/>
      <c r="R16" s="84"/>
      <c r="S16" s="42">
        <f>SUM(S6,V7:V11)</f>
        <v>62593</v>
      </c>
      <c r="T16" s="51"/>
      <c r="U16" s="51"/>
      <c r="V16" s="41"/>
      <c r="W16" s="40"/>
      <c r="X16" s="40"/>
      <c r="Y16" s="40"/>
      <c r="Z16" s="70"/>
    </row>
  </sheetData>
  <mergeCells count="4">
    <mergeCell ref="P16:R16"/>
    <mergeCell ref="F14:G14"/>
    <mergeCell ref="L14:N14"/>
    <mergeCell ref="P6:R6"/>
  </mergeCells>
  <hyperlinks>
    <hyperlink ref="AA13" r:id="rId1" xr:uid="{2B2CA076-1500-4A5D-BB50-9EE9DFDDA23E}"/>
    <hyperlink ref="AB13" r:id="rId2" xr:uid="{8F6258ED-1945-43F3-AFEC-D2AE0A22E738}"/>
    <hyperlink ref="AC13" r:id="rId3" xr:uid="{BF58378C-C6E3-45DF-8F90-27429FD800C7}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Trade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Some portfolio thing idk</dc:title>
  <dc:creator>weii</dc:creator>
  <cp:lastModifiedBy>weii</cp:lastModifiedBy>
  <dcterms:created xsi:type="dcterms:W3CDTF">2015-06-05T18:17:20Z</dcterms:created>
  <dcterms:modified xsi:type="dcterms:W3CDTF">2020-05-11T19:31:49Z</dcterms:modified>
</cp:coreProperties>
</file>